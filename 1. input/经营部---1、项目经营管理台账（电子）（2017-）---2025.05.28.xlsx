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79038\Desktop\"/>
    </mc:Choice>
  </mc:AlternateContent>
  <xr:revisionPtr revIDLastSave="0" documentId="13_ncr:1_{E9742509-7F91-4CC9-B01D-6805B07C365B}" xr6:coauthVersionLast="47" xr6:coauthVersionMax="47" xr10:uidLastSave="{00000000-0000-0000-0000-000000000000}"/>
  <bookViews>
    <workbookView xWindow="-120" yWindow="-120" windowWidth="29040" windowHeight="15720" tabRatio="498" activeTab="7" xr2:uid="{00000000-000D-0000-FFFF-FFFF00000000}"/>
  </bookViews>
  <sheets>
    <sheet name="2017 " sheetId="13" r:id="rId1"/>
    <sheet name="2018" sheetId="14" r:id="rId2"/>
    <sheet name="2019" sheetId="15" r:id="rId3"/>
    <sheet name="2020" sheetId="19" r:id="rId4"/>
    <sheet name="2021" sheetId="20" r:id="rId5"/>
    <sheet name="2022" sheetId="23" r:id="rId6"/>
    <sheet name="2023  " sheetId="26" r:id="rId7"/>
    <sheet name="2024" sheetId="27" r:id="rId8"/>
    <sheet name="2025" sheetId="28" r:id="rId9"/>
    <sheet name="年度汇总表" sheetId="16" r:id="rId10"/>
  </sheets>
  <definedNames>
    <definedName name="_xlnm._FilterDatabase" localSheetId="0" hidden="1">'2017 '!$A$3:$AJ$94</definedName>
    <definedName name="_xlnm._FilterDatabase" localSheetId="1" hidden="1">'2018'!$A$3:$AH$53</definedName>
    <definedName name="_xlnm._FilterDatabase" localSheetId="2" hidden="1">'2019'!$A$3:$AK$98</definedName>
    <definedName name="_xlnm._FilterDatabase" localSheetId="3" hidden="1">'2020'!$A$3:$AK$54</definedName>
    <definedName name="_xlnm._FilterDatabase" localSheetId="4" hidden="1">'2021'!$A$3:$AI$4</definedName>
    <definedName name="_xlnm._FilterDatabase" localSheetId="5" hidden="1">'2022'!$A$3:$AI$4</definedName>
    <definedName name="_xlnm._FilterDatabase" localSheetId="6" hidden="1">'2023  '!$U$1:$U$123</definedName>
    <definedName name="_xlnm._FilterDatabase" localSheetId="7" hidden="1">'2024'!$A$3:$AJ$4</definedName>
    <definedName name="_xlnm._FilterDatabase" localSheetId="8" hidden="1">'2025'!$A$3:$AJ$4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5" i="27" l="1"/>
  <c r="W62" i="27"/>
  <c r="V62" i="27"/>
  <c r="V65" i="27"/>
  <c r="V68" i="27"/>
  <c r="V71" i="27"/>
  <c r="V74" i="27"/>
  <c r="V59" i="27"/>
  <c r="W59" i="27"/>
  <c r="V20" i="28"/>
  <c r="Y32" i="14" l="1"/>
  <c r="X32" i="14"/>
  <c r="AC39" i="19" l="1"/>
  <c r="V116" i="26"/>
  <c r="AC51" i="15"/>
  <c r="X51" i="15"/>
  <c r="V20" i="27"/>
  <c r="V35" i="27"/>
  <c r="AG164" i="27"/>
  <c r="AG167" i="27"/>
  <c r="AG161" i="27"/>
  <c r="AG158" i="27"/>
  <c r="AG159" i="27"/>
  <c r="AG162" i="27"/>
  <c r="AG132" i="27"/>
  <c r="AG131" i="27"/>
  <c r="AG129" i="27"/>
  <c r="AG128" i="27"/>
  <c r="AG113" i="27"/>
  <c r="AG116" i="27"/>
  <c r="AG117" i="27"/>
  <c r="AG110" i="27"/>
  <c r="AG111" i="27"/>
  <c r="AG114" i="27"/>
  <c r="AG108" i="27"/>
  <c r="AG104" i="27"/>
  <c r="AG107" i="27"/>
  <c r="AG105" i="27"/>
  <c r="AG101" i="27"/>
  <c r="AG102" i="27"/>
  <c r="AG98" i="27"/>
  <c r="AG99" i="27"/>
  <c r="AG96" i="27"/>
  <c r="AG95" i="27"/>
  <c r="AG92" i="27"/>
  <c r="AG93" i="27"/>
  <c r="AG90" i="27"/>
  <c r="AG89" i="27"/>
  <c r="AG87" i="27"/>
  <c r="AG86" i="27"/>
  <c r="AG29" i="26"/>
  <c r="Q26" i="28"/>
  <c r="P26" i="28"/>
  <c r="O26" i="28"/>
  <c r="R26" i="28" s="1"/>
  <c r="S26" i="28" s="1"/>
  <c r="Q23" i="28"/>
  <c r="P23" i="28"/>
  <c r="O23" i="28"/>
  <c r="R23" i="28" s="1"/>
  <c r="S23" i="28" s="1"/>
  <c r="Q20" i="28"/>
  <c r="P20" i="28"/>
  <c r="O20" i="28"/>
  <c r="R20" i="28" s="1"/>
  <c r="S20" i="28" s="1"/>
  <c r="Q17" i="28"/>
  <c r="P17" i="28"/>
  <c r="O17" i="28"/>
  <c r="R17" i="28" s="1"/>
  <c r="S17" i="28" s="1"/>
  <c r="Q14" i="28"/>
  <c r="P14" i="28"/>
  <c r="O14" i="28"/>
  <c r="R14" i="28" s="1"/>
  <c r="S14" i="28" s="1"/>
  <c r="Q11" i="28"/>
  <c r="P11" i="28"/>
  <c r="O11" i="28"/>
  <c r="W32" i="28"/>
  <c r="T32" i="28"/>
  <c r="J32" i="28"/>
  <c r="I32" i="28"/>
  <c r="Q29" i="28"/>
  <c r="P29" i="28"/>
  <c r="O29" i="28"/>
  <c r="Q8" i="28"/>
  <c r="P8" i="28"/>
  <c r="O8" i="28"/>
  <c r="Q5" i="28"/>
  <c r="P5" i="28"/>
  <c r="O5" i="28"/>
  <c r="K173" i="27"/>
  <c r="N173" i="27" s="1"/>
  <c r="Q173" i="27" s="1"/>
  <c r="L146" i="27"/>
  <c r="L68" i="27"/>
  <c r="L71" i="27"/>
  <c r="L74" i="27"/>
  <c r="L62" i="27"/>
  <c r="L65" i="27"/>
  <c r="L59" i="27"/>
  <c r="N155" i="27"/>
  <c r="N176" i="27"/>
  <c r="L170" i="27"/>
  <c r="O170" i="27" s="1"/>
  <c r="L152" i="27"/>
  <c r="L8" i="27"/>
  <c r="L11" i="27"/>
  <c r="L14" i="27"/>
  <c r="L5" i="27"/>
  <c r="Q11" i="27"/>
  <c r="P11" i="27"/>
  <c r="O11" i="27"/>
  <c r="Q8" i="27"/>
  <c r="P8" i="27"/>
  <c r="Q167" i="27"/>
  <c r="P167" i="27"/>
  <c r="O167" i="27"/>
  <c r="Q164" i="27"/>
  <c r="P164" i="27"/>
  <c r="O164" i="27"/>
  <c r="Q161" i="27"/>
  <c r="P161" i="27"/>
  <c r="O161" i="27"/>
  <c r="J191" i="27"/>
  <c r="I191" i="27"/>
  <c r="P173" i="27"/>
  <c r="O173" i="27"/>
  <c r="Q170" i="27"/>
  <c r="P170" i="27"/>
  <c r="Q179" i="27"/>
  <c r="P179" i="27"/>
  <c r="O179" i="27"/>
  <c r="Q176" i="27"/>
  <c r="P176" i="27"/>
  <c r="O176" i="27"/>
  <c r="Q182" i="27"/>
  <c r="P182" i="27"/>
  <c r="O182" i="27"/>
  <c r="K140" i="27"/>
  <c r="K191" i="27" s="1"/>
  <c r="R176" i="27" l="1"/>
  <c r="S176" i="27" s="1"/>
  <c r="R11" i="27"/>
  <c r="S11" i="27" s="1"/>
  <c r="R8" i="28"/>
  <c r="S8" i="28" s="1"/>
  <c r="V17" i="28"/>
  <c r="U17" i="28"/>
  <c r="Y17" i="28"/>
  <c r="Y26" i="28"/>
  <c r="V26" i="28"/>
  <c r="U26" i="28"/>
  <c r="Y23" i="28"/>
  <c r="V23" i="28"/>
  <c r="U23" i="28"/>
  <c r="Y20" i="28"/>
  <c r="U20" i="28"/>
  <c r="R11" i="28"/>
  <c r="S11" i="28" s="1"/>
  <c r="Y11" i="28" s="1"/>
  <c r="Y14" i="28"/>
  <c r="V14" i="28"/>
  <c r="U14" i="28"/>
  <c r="R29" i="28"/>
  <c r="S29" i="28" s="1"/>
  <c r="V29" i="28" s="1"/>
  <c r="R5" i="28"/>
  <c r="S5" i="28" s="1"/>
  <c r="Y5" i="28" s="1"/>
  <c r="K32" i="28"/>
  <c r="L32" i="28"/>
  <c r="AG32" i="28"/>
  <c r="M32" i="28"/>
  <c r="U8" i="28"/>
  <c r="V8" i="28"/>
  <c r="Y8" i="28"/>
  <c r="Q32" i="28"/>
  <c r="O32" i="28"/>
  <c r="P32" i="28"/>
  <c r="Y11" i="27"/>
  <c r="V11" i="27"/>
  <c r="U11" i="27"/>
  <c r="R8" i="27"/>
  <c r="S8" i="27" s="1"/>
  <c r="Y8" i="27" s="1"/>
  <c r="R167" i="27"/>
  <c r="S167" i="27" s="1"/>
  <c r="V167" i="27" s="1"/>
  <c r="R164" i="27"/>
  <c r="S164" i="27" s="1"/>
  <c r="V164" i="27" s="1"/>
  <c r="R170" i="27"/>
  <c r="S170" i="27" s="1"/>
  <c r="Y170" i="27" s="1"/>
  <c r="R173" i="27"/>
  <c r="S173" i="27" s="1"/>
  <c r="U173" i="27" s="1"/>
  <c r="R161" i="27"/>
  <c r="S161" i="27" s="1"/>
  <c r="V161" i="27" s="1"/>
  <c r="R182" i="27"/>
  <c r="S182" i="27" s="1"/>
  <c r="V182" i="27" s="1"/>
  <c r="R179" i="27"/>
  <c r="S179" i="27" s="1"/>
  <c r="Y176" i="27"/>
  <c r="V176" i="27"/>
  <c r="U176" i="27"/>
  <c r="N140" i="27"/>
  <c r="P33" i="13"/>
  <c r="S33" i="13" s="1"/>
  <c r="T33" i="13" s="1"/>
  <c r="W33" i="13" l="1"/>
  <c r="X33" i="13" s="1"/>
  <c r="V33" i="13"/>
  <c r="U11" i="28"/>
  <c r="V11" i="28"/>
  <c r="X20" i="28"/>
  <c r="AB20" i="28"/>
  <c r="AH20" i="28" s="1"/>
  <c r="AB23" i="28"/>
  <c r="X23" i="28"/>
  <c r="AH23" i="28"/>
  <c r="AB26" i="28"/>
  <c r="AH26" i="28" s="1"/>
  <c r="X26" i="28"/>
  <c r="X17" i="28"/>
  <c r="AB17" i="28"/>
  <c r="AH17" i="28" s="1"/>
  <c r="AB14" i="28"/>
  <c r="AH14" i="28" s="1"/>
  <c r="X14" i="28"/>
  <c r="Y29" i="28"/>
  <c r="U29" i="28"/>
  <c r="AB11" i="28"/>
  <c r="X11" i="28"/>
  <c r="AH11" i="28"/>
  <c r="U5" i="28"/>
  <c r="V5" i="28"/>
  <c r="X5" i="28" s="1"/>
  <c r="N32" i="28"/>
  <c r="AB8" i="28"/>
  <c r="AH8" i="28" s="1"/>
  <c r="X8" i="28"/>
  <c r="R32" i="28"/>
  <c r="X29" i="28"/>
  <c r="AB29" i="28"/>
  <c r="AH29" i="28" s="1"/>
  <c r="U8" i="27"/>
  <c r="V8" i="27"/>
  <c r="AB8" i="27" s="1"/>
  <c r="AH8" i="27" s="1"/>
  <c r="AB11" i="27"/>
  <c r="AH11" i="27" s="1"/>
  <c r="X11" i="27"/>
  <c r="U167" i="27"/>
  <c r="Y167" i="27"/>
  <c r="U164" i="27"/>
  <c r="Y164" i="27"/>
  <c r="Y173" i="27"/>
  <c r="V170" i="27"/>
  <c r="AB170" i="27" s="1"/>
  <c r="AH170" i="27" s="1"/>
  <c r="AB167" i="27"/>
  <c r="X167" i="27"/>
  <c r="V173" i="27"/>
  <c r="X173" i="27" s="1"/>
  <c r="U170" i="27"/>
  <c r="AB164" i="27"/>
  <c r="X164" i="27"/>
  <c r="Y161" i="27"/>
  <c r="U161" i="27"/>
  <c r="U182" i="27"/>
  <c r="Y179" i="27"/>
  <c r="Y182" i="27"/>
  <c r="U179" i="27"/>
  <c r="AB161" i="27"/>
  <c r="X161" i="27"/>
  <c r="AB176" i="27"/>
  <c r="AH176" i="27" s="1"/>
  <c r="X176" i="27"/>
  <c r="AB179" i="27"/>
  <c r="X179" i="27"/>
  <c r="AB182" i="27"/>
  <c r="X182" i="27"/>
  <c r="Y33" i="13"/>
  <c r="N149" i="27"/>
  <c r="Q149" i="27" s="1"/>
  <c r="L116" i="27"/>
  <c r="M116" i="27"/>
  <c r="L110" i="27"/>
  <c r="M110" i="27"/>
  <c r="L113" i="27"/>
  <c r="M113" i="27"/>
  <c r="L98" i="27"/>
  <c r="M98" i="27"/>
  <c r="L101" i="27"/>
  <c r="M101" i="27"/>
  <c r="L104" i="27"/>
  <c r="M104" i="27"/>
  <c r="L107" i="27"/>
  <c r="M107" i="27"/>
  <c r="L89" i="27"/>
  <c r="M89" i="27"/>
  <c r="L92" i="27"/>
  <c r="M92" i="27"/>
  <c r="L95" i="27"/>
  <c r="M95" i="27"/>
  <c r="M86" i="27"/>
  <c r="L86" i="27"/>
  <c r="Q146" i="27"/>
  <c r="N137" i="27"/>
  <c r="Q137" i="27" s="1"/>
  <c r="N122" i="27"/>
  <c r="N119" i="27"/>
  <c r="P29" i="27"/>
  <c r="O50" i="27"/>
  <c r="O146" i="27"/>
  <c r="P146" i="27"/>
  <c r="O149" i="27"/>
  <c r="P149" i="27"/>
  <c r="O152" i="27"/>
  <c r="P152" i="27"/>
  <c r="Q152" i="27"/>
  <c r="Q158" i="27"/>
  <c r="P158" i="27"/>
  <c r="O158" i="27"/>
  <c r="Q155" i="27"/>
  <c r="P155" i="27"/>
  <c r="O155" i="27"/>
  <c r="Q185" i="27"/>
  <c r="P185" i="27"/>
  <c r="O185" i="27"/>
  <c r="L35" i="27"/>
  <c r="L20" i="27"/>
  <c r="P137" i="27"/>
  <c r="O137" i="27"/>
  <c r="P134" i="27"/>
  <c r="O134" i="27"/>
  <c r="Q134" i="27"/>
  <c r="X8" i="27" l="1"/>
  <c r="AB5" i="28"/>
  <c r="AH5" i="28" s="1"/>
  <c r="Y32" i="28"/>
  <c r="U32" i="28"/>
  <c r="S32" i="28"/>
  <c r="AH167" i="27"/>
  <c r="AB173" i="27"/>
  <c r="AH173" i="27" s="1"/>
  <c r="X170" i="27"/>
  <c r="AH164" i="27"/>
  <c r="AH161" i="27"/>
  <c r="AH182" i="27"/>
  <c r="AH179" i="27"/>
  <c r="R158" i="27"/>
  <c r="S158" i="27" s="1"/>
  <c r="Y158" i="27" s="1"/>
  <c r="M191" i="27"/>
  <c r="L191" i="27"/>
  <c r="R149" i="27"/>
  <c r="S149" i="27" s="1"/>
  <c r="V149" i="27" s="1"/>
  <c r="AB149" i="27" s="1"/>
  <c r="R152" i="27"/>
  <c r="S152" i="27" s="1"/>
  <c r="Y152" i="27" s="1"/>
  <c r="R146" i="27"/>
  <c r="S146" i="27" s="1"/>
  <c r="U146" i="27" s="1"/>
  <c r="R155" i="27"/>
  <c r="S155" i="27" s="1"/>
  <c r="V155" i="27" s="1"/>
  <c r="R185" i="27"/>
  <c r="S185" i="27" s="1"/>
  <c r="Y185" i="27" s="1"/>
  <c r="R134" i="27"/>
  <c r="S134" i="27" s="1"/>
  <c r="Y134" i="27" s="1"/>
  <c r="R137" i="27"/>
  <c r="S137" i="27" s="1"/>
  <c r="Y137" i="27" s="1"/>
  <c r="Q29" i="27"/>
  <c r="R29" i="27"/>
  <c r="S29" i="27" s="1"/>
  <c r="Q53" i="27"/>
  <c r="P53" i="27"/>
  <c r="T191" i="27"/>
  <c r="D12" i="16" s="1"/>
  <c r="Q143" i="27"/>
  <c r="P143" i="27"/>
  <c r="O143" i="27"/>
  <c r="Q140" i="27"/>
  <c r="P140" i="27"/>
  <c r="O140" i="27"/>
  <c r="Q188" i="27"/>
  <c r="P188" i="27"/>
  <c r="O188" i="27"/>
  <c r="J80" i="26"/>
  <c r="I80" i="26"/>
  <c r="J77" i="26"/>
  <c r="I77" i="26"/>
  <c r="L53" i="26"/>
  <c r="I74" i="26"/>
  <c r="J74" i="26"/>
  <c r="J71" i="26"/>
  <c r="I71" i="26"/>
  <c r="J83" i="26"/>
  <c r="I83" i="26"/>
  <c r="N116" i="26"/>
  <c r="Q74" i="27"/>
  <c r="P74" i="27"/>
  <c r="O74" i="27"/>
  <c r="Q71" i="27"/>
  <c r="P71" i="27"/>
  <c r="O71" i="27"/>
  <c r="Q68" i="27"/>
  <c r="P68" i="27"/>
  <c r="O68" i="27"/>
  <c r="Q65" i="27"/>
  <c r="P65" i="27"/>
  <c r="O65" i="27"/>
  <c r="Q62" i="27"/>
  <c r="P62" i="27"/>
  <c r="O62" i="27"/>
  <c r="AB32" i="28" l="1"/>
  <c r="X32" i="28"/>
  <c r="V32" i="28"/>
  <c r="X149" i="27"/>
  <c r="V152" i="27"/>
  <c r="AB152" i="27" s="1"/>
  <c r="AH152" i="27" s="1"/>
  <c r="U158" i="27"/>
  <c r="V158" i="27"/>
  <c r="U152" i="27"/>
  <c r="Y149" i="27"/>
  <c r="AH149" i="27" s="1"/>
  <c r="U149" i="27"/>
  <c r="V146" i="27"/>
  <c r="X146" i="27" s="1"/>
  <c r="Y146" i="27"/>
  <c r="U155" i="27"/>
  <c r="Y155" i="27"/>
  <c r="U185" i="27"/>
  <c r="R53" i="27"/>
  <c r="S53" i="27" s="1"/>
  <c r="V53" i="27" s="1"/>
  <c r="V185" i="27"/>
  <c r="X185" i="27" s="1"/>
  <c r="AB158" i="27"/>
  <c r="AH158" i="27" s="1"/>
  <c r="X158" i="27"/>
  <c r="AB155" i="27"/>
  <c r="X155" i="27"/>
  <c r="V134" i="27"/>
  <c r="X134" i="27" s="1"/>
  <c r="U134" i="27"/>
  <c r="V137" i="27"/>
  <c r="X137" i="27" s="1"/>
  <c r="U137" i="27"/>
  <c r="R140" i="27"/>
  <c r="S140" i="27" s="1"/>
  <c r="V140" i="27" s="1"/>
  <c r="Y29" i="27"/>
  <c r="U29" i="27"/>
  <c r="V29" i="27"/>
  <c r="R188" i="27"/>
  <c r="S188" i="27" s="1"/>
  <c r="U188" i="27" s="1"/>
  <c r="R143" i="27"/>
  <c r="S143" i="27" s="1"/>
  <c r="Y143" i="27" s="1"/>
  <c r="R68" i="27"/>
  <c r="S68" i="27" s="1"/>
  <c r="U68" i="27" s="1"/>
  <c r="R74" i="27"/>
  <c r="S74" i="27" s="1"/>
  <c r="R62" i="27"/>
  <c r="S62" i="27" s="1"/>
  <c r="R71" i="27"/>
  <c r="S71" i="27" s="1"/>
  <c r="Y71" i="27" s="1"/>
  <c r="R65" i="27"/>
  <c r="S65" i="27" s="1"/>
  <c r="Y65" i="27" s="1"/>
  <c r="N83" i="27"/>
  <c r="N191" i="27" s="1"/>
  <c r="L32" i="26"/>
  <c r="I29" i="26"/>
  <c r="N104" i="26"/>
  <c r="Q56" i="27"/>
  <c r="P56" i="27"/>
  <c r="Q50" i="27"/>
  <c r="P50" i="27"/>
  <c r="AG41" i="27"/>
  <c r="Q41" i="27"/>
  <c r="P41" i="27"/>
  <c r="AH32" i="28" l="1"/>
  <c r="X152" i="27"/>
  <c r="AB146" i="27"/>
  <c r="AH146" i="27" s="1"/>
  <c r="AH155" i="27"/>
  <c r="U53" i="27"/>
  <c r="Y53" i="27"/>
  <c r="AB185" i="27"/>
  <c r="AH185" i="27" s="1"/>
  <c r="V188" i="27"/>
  <c r="AB188" i="27" s="1"/>
  <c r="AH188" i="27" s="1"/>
  <c r="X68" i="27"/>
  <c r="Y188" i="27"/>
  <c r="U143" i="27"/>
  <c r="AB134" i="27"/>
  <c r="AH134" i="27" s="1"/>
  <c r="AB137" i="27"/>
  <c r="AH137" i="27" s="1"/>
  <c r="Y68" i="27"/>
  <c r="Y140" i="27"/>
  <c r="U140" i="27"/>
  <c r="V143" i="27"/>
  <c r="AB143" i="27" s="1"/>
  <c r="AH143" i="27" s="1"/>
  <c r="X29" i="27"/>
  <c r="AB29" i="27"/>
  <c r="AH29" i="27" s="1"/>
  <c r="X53" i="27"/>
  <c r="AB53" i="27"/>
  <c r="AH53" i="27" s="1"/>
  <c r="R41" i="27"/>
  <c r="S41" i="27" s="1"/>
  <c r="Y41" i="27" s="1"/>
  <c r="AB140" i="27"/>
  <c r="X140" i="27"/>
  <c r="Y74" i="27"/>
  <c r="AB71" i="27"/>
  <c r="AH71" i="27" s="1"/>
  <c r="U71" i="27"/>
  <c r="U74" i="27"/>
  <c r="U62" i="27"/>
  <c r="Y62" i="27"/>
  <c r="U65" i="27"/>
  <c r="X65" i="27"/>
  <c r="X74" i="27"/>
  <c r="AB74" i="27"/>
  <c r="R56" i="27"/>
  <c r="S56" i="27" s="1"/>
  <c r="Y56" i="27" s="1"/>
  <c r="AB62" i="27"/>
  <c r="X62" i="27"/>
  <c r="R50" i="27"/>
  <c r="S50" i="27" s="1"/>
  <c r="V50" i="27" s="1"/>
  <c r="X188" i="27" l="1"/>
  <c r="AB68" i="27"/>
  <c r="AH68" i="27"/>
  <c r="AH140" i="27"/>
  <c r="X143" i="27"/>
  <c r="U41" i="27"/>
  <c r="V41" i="27"/>
  <c r="AB41" i="27" s="1"/>
  <c r="AH41" i="27" s="1"/>
  <c r="AH74" i="27"/>
  <c r="X71" i="27"/>
  <c r="AH62" i="27"/>
  <c r="AB65" i="27"/>
  <c r="AH65" i="27" s="1"/>
  <c r="U56" i="27"/>
  <c r="Y50" i="27"/>
  <c r="U50" i="27"/>
  <c r="V56" i="27"/>
  <c r="X56" i="27" s="1"/>
  <c r="AB50" i="27"/>
  <c r="X50" i="27"/>
  <c r="AH50" i="27" l="1"/>
  <c r="X41" i="27"/>
  <c r="AB56" i="27"/>
  <c r="AH56" i="27" s="1"/>
  <c r="Q14" i="27"/>
  <c r="P14" i="27"/>
  <c r="O14" i="27"/>
  <c r="R14" i="27" l="1"/>
  <c r="S14" i="27" s="1"/>
  <c r="Y14" i="27" s="1"/>
  <c r="U14" i="27" l="1"/>
  <c r="V14" i="27"/>
  <c r="AB14" i="27" s="1"/>
  <c r="AH14" i="27" l="1"/>
  <c r="X14" i="27"/>
  <c r="Q23" i="27"/>
  <c r="P23" i="27"/>
  <c r="AG44" i="27"/>
  <c r="Q44" i="27"/>
  <c r="P44" i="27"/>
  <c r="O44" i="27"/>
  <c r="Q32" i="27"/>
  <c r="P32" i="27"/>
  <c r="Q47" i="27"/>
  <c r="P47" i="27"/>
  <c r="O47" i="27"/>
  <c r="W29" i="26"/>
  <c r="W26" i="26"/>
  <c r="W23" i="26"/>
  <c r="W20" i="26"/>
  <c r="W17" i="26"/>
  <c r="W14" i="26"/>
  <c r="R29" i="26"/>
  <c r="S29" i="26" s="1"/>
  <c r="R23" i="27" l="1"/>
  <c r="S23" i="27" s="1"/>
  <c r="Y23" i="27" s="1"/>
  <c r="V29" i="26"/>
  <c r="Y29" i="26"/>
  <c r="R32" i="27"/>
  <c r="S32" i="27" s="1"/>
  <c r="U32" i="27" s="1"/>
  <c r="R44" i="27"/>
  <c r="S44" i="27" s="1"/>
  <c r="V44" i="27" s="1"/>
  <c r="U29" i="26"/>
  <c r="R47" i="27"/>
  <c r="S47" i="27" s="1"/>
  <c r="Y47" i="27" s="1"/>
  <c r="X29" i="26"/>
  <c r="AB29" i="26"/>
  <c r="V32" i="27" l="1"/>
  <c r="U23" i="27"/>
  <c r="V23" i="27"/>
  <c r="Y32" i="27"/>
  <c r="AH29" i="26"/>
  <c r="U47" i="27"/>
  <c r="V47" i="27"/>
  <c r="X47" i="27" s="1"/>
  <c r="U44" i="27"/>
  <c r="Y44" i="27"/>
  <c r="AB23" i="27"/>
  <c r="AH23" i="27" s="1"/>
  <c r="X23" i="27"/>
  <c r="AB44" i="27"/>
  <c r="X44" i="27"/>
  <c r="AB32" i="27"/>
  <c r="X32" i="27"/>
  <c r="N119" i="26"/>
  <c r="AH32" i="27" l="1"/>
  <c r="AB47" i="27"/>
  <c r="AH47" i="27" s="1"/>
  <c r="AH44" i="27"/>
  <c r="AB42" i="15"/>
  <c r="W98" i="26" l="1"/>
  <c r="W95" i="26"/>
  <c r="W92" i="26"/>
  <c r="W89" i="26"/>
  <c r="W86" i="26"/>
  <c r="W107" i="26" l="1"/>
  <c r="Z39" i="23"/>
  <c r="Z38" i="23"/>
  <c r="W59" i="26"/>
  <c r="W65" i="26" l="1"/>
  <c r="O8" i="26" l="1"/>
  <c r="V8" i="26" s="1"/>
  <c r="O5" i="26"/>
  <c r="V5" i="26" s="1"/>
  <c r="W11" i="26"/>
  <c r="Z21" i="23"/>
  <c r="Z19" i="23"/>
  <c r="Z13" i="23"/>
  <c r="AF35" i="23"/>
  <c r="AF32" i="23"/>
  <c r="AF29" i="23"/>
  <c r="AF22" i="23"/>
  <c r="AF21" i="23"/>
  <c r="AF20" i="23"/>
  <c r="AF19" i="23"/>
  <c r="AF13" i="23"/>
  <c r="AF12" i="23"/>
  <c r="AF11" i="23"/>
  <c r="AG50" i="26"/>
  <c r="AG51" i="26"/>
  <c r="AG47" i="26"/>
  <c r="AG44" i="26"/>
  <c r="AG41" i="26"/>
  <c r="AG38" i="26"/>
  <c r="AG39" i="26"/>
  <c r="Q47" i="26"/>
  <c r="R47" i="26" l="1"/>
  <c r="S47" i="26" s="1"/>
  <c r="Y47" i="26" s="1"/>
  <c r="U47" i="26" l="1"/>
  <c r="V47" i="26"/>
  <c r="AB47" i="26" s="1"/>
  <c r="AH47" i="26" s="1"/>
  <c r="X47" i="26" l="1"/>
  <c r="O29" i="20"/>
  <c r="O26" i="20"/>
  <c r="R26" i="20" s="1"/>
  <c r="O41" i="20"/>
  <c r="O38" i="20"/>
  <c r="Q113" i="26"/>
  <c r="P113" i="26"/>
  <c r="O113" i="26"/>
  <c r="O56" i="20"/>
  <c r="M29" i="23"/>
  <c r="L29" i="23"/>
  <c r="L62" i="26"/>
  <c r="X58" i="15"/>
  <c r="AC21" i="20"/>
  <c r="AB21" i="20"/>
  <c r="R113" i="26" l="1"/>
  <c r="S113" i="26" s="1"/>
  <c r="Y113" i="26"/>
  <c r="V113" i="26"/>
  <c r="U113" i="26"/>
  <c r="S21" i="23"/>
  <c r="S19" i="23"/>
  <c r="R21" i="23"/>
  <c r="R19" i="23"/>
  <c r="S13" i="23"/>
  <c r="R13" i="23"/>
  <c r="S11" i="23"/>
  <c r="S17" i="23"/>
  <c r="R16" i="19"/>
  <c r="M16" i="19"/>
  <c r="L16" i="19"/>
  <c r="U19" i="23" l="1"/>
  <c r="Y19" i="23" s="1"/>
  <c r="AA19" i="23" s="1"/>
  <c r="U21" i="23"/>
  <c r="Y21" i="23" s="1"/>
  <c r="AA21" i="23" s="1"/>
  <c r="AB113" i="26"/>
  <c r="AH113" i="26" s="1"/>
  <c r="X113" i="26"/>
  <c r="U13" i="23"/>
  <c r="Y13" i="23" s="1"/>
  <c r="AA13" i="23" s="1"/>
  <c r="I122" i="26"/>
  <c r="AG81" i="26" l="1"/>
  <c r="AG9" i="26" l="1"/>
  <c r="AG8" i="26"/>
  <c r="M11" i="26" l="1"/>
  <c r="L11" i="26"/>
  <c r="Q92" i="26"/>
  <c r="P92" i="26"/>
  <c r="Q89" i="26"/>
  <c r="P89" i="26"/>
  <c r="Q95" i="26"/>
  <c r="P95" i="26"/>
  <c r="Q98" i="26"/>
  <c r="P98" i="26"/>
  <c r="Q101" i="26"/>
  <c r="P101" i="26"/>
  <c r="L101" i="26"/>
  <c r="O101" i="26" s="1"/>
  <c r="Q17" i="26"/>
  <c r="Q14" i="26"/>
  <c r="Q23" i="26"/>
  <c r="Q20" i="26"/>
  <c r="Q32" i="26"/>
  <c r="P32" i="26"/>
  <c r="O32" i="26"/>
  <c r="Q26" i="26"/>
  <c r="R89" i="26" l="1"/>
  <c r="S89" i="26" s="1"/>
  <c r="Y89" i="26" s="1"/>
  <c r="R92" i="26"/>
  <c r="S92" i="26" s="1"/>
  <c r="Y92" i="26" s="1"/>
  <c r="R95" i="26"/>
  <c r="S95" i="26" s="1"/>
  <c r="Y95" i="26" s="1"/>
  <c r="R98" i="26"/>
  <c r="S98" i="26" s="1"/>
  <c r="Y98" i="26" s="1"/>
  <c r="R101" i="26"/>
  <c r="S101" i="26" s="1"/>
  <c r="AG101" i="26" s="1"/>
  <c r="R17" i="26"/>
  <c r="S17" i="26" s="1"/>
  <c r="Y17" i="26" s="1"/>
  <c r="R20" i="26"/>
  <c r="S20" i="26" s="1"/>
  <c r="Y20" i="26" s="1"/>
  <c r="R14" i="26"/>
  <c r="S14" i="26" s="1"/>
  <c r="Y14" i="26" s="1"/>
  <c r="R23" i="26"/>
  <c r="S23" i="26" s="1"/>
  <c r="U23" i="26" s="1"/>
  <c r="R32" i="26"/>
  <c r="S32" i="26" s="1"/>
  <c r="Y32" i="26" s="1"/>
  <c r="R26" i="26"/>
  <c r="S26" i="26" s="1"/>
  <c r="V26" i="26" s="1"/>
  <c r="X49" i="15"/>
  <c r="AA49" i="15" s="1"/>
  <c r="AB49" i="15" s="1"/>
  <c r="Z6" i="20"/>
  <c r="AA8" i="15"/>
  <c r="AB8" i="15" s="1"/>
  <c r="Z45" i="20"/>
  <c r="Z44" i="20"/>
  <c r="O33" i="15"/>
  <c r="R33" i="15" s="1"/>
  <c r="U33" i="15" s="1"/>
  <c r="AH33" i="15"/>
  <c r="AG33" i="15"/>
  <c r="W191" i="27"/>
  <c r="G12" i="16" s="1"/>
  <c r="Q131" i="27"/>
  <c r="P131" i="27"/>
  <c r="O131" i="27"/>
  <c r="Q128" i="27"/>
  <c r="P128" i="27"/>
  <c r="O128" i="27"/>
  <c r="Q125" i="27"/>
  <c r="P125" i="27"/>
  <c r="O125" i="27"/>
  <c r="Q122" i="27"/>
  <c r="P122" i="27"/>
  <c r="Q119" i="27"/>
  <c r="P119" i="27"/>
  <c r="Q116" i="27"/>
  <c r="P116" i="27"/>
  <c r="O116" i="27"/>
  <c r="Q113" i="27"/>
  <c r="P113" i="27"/>
  <c r="O113" i="27"/>
  <c r="Q110" i="27"/>
  <c r="P110" i="27"/>
  <c r="O110" i="27"/>
  <c r="Q107" i="27"/>
  <c r="P107" i="27"/>
  <c r="O107" i="27"/>
  <c r="Q104" i="27"/>
  <c r="P104" i="27"/>
  <c r="O104" i="27"/>
  <c r="Q101" i="27"/>
  <c r="P101" i="27"/>
  <c r="O101" i="27"/>
  <c r="Q98" i="27"/>
  <c r="P98" i="27"/>
  <c r="O98" i="27"/>
  <c r="Q95" i="27"/>
  <c r="P95" i="27"/>
  <c r="O95" i="27"/>
  <c r="Q92" i="27"/>
  <c r="P92" i="27"/>
  <c r="O92" i="27"/>
  <c r="Q89" i="27"/>
  <c r="P89" i="27"/>
  <c r="O89" i="27"/>
  <c r="Q86" i="27"/>
  <c r="P86" i="27"/>
  <c r="O86" i="27"/>
  <c r="Q83" i="27"/>
  <c r="P83" i="27"/>
  <c r="O83" i="27"/>
  <c r="Q80" i="27"/>
  <c r="P80" i="27"/>
  <c r="O80" i="27"/>
  <c r="Q77" i="27"/>
  <c r="P77" i="27"/>
  <c r="O77" i="27"/>
  <c r="Q59" i="27"/>
  <c r="P59" i="27"/>
  <c r="O59" i="27"/>
  <c r="AG38" i="27"/>
  <c r="Q38" i="27"/>
  <c r="P38" i="27"/>
  <c r="AG35" i="27"/>
  <c r="Q35" i="27"/>
  <c r="P35" i="27"/>
  <c r="O35" i="27"/>
  <c r="Q26" i="27"/>
  <c r="Q20" i="27"/>
  <c r="P20" i="27"/>
  <c r="O20" i="27"/>
  <c r="Q17" i="27"/>
  <c r="P17" i="27"/>
  <c r="O17" i="27"/>
  <c r="Q5" i="27"/>
  <c r="P5" i="27"/>
  <c r="O5" i="27"/>
  <c r="W122" i="26"/>
  <c r="G11" i="16" s="1"/>
  <c r="T122" i="26"/>
  <c r="D11" i="16" s="1"/>
  <c r="N122" i="26"/>
  <c r="K122" i="26"/>
  <c r="J122" i="26"/>
  <c r="Q119" i="26"/>
  <c r="P119" i="26"/>
  <c r="O119" i="26"/>
  <c r="Q116" i="26"/>
  <c r="P116" i="26"/>
  <c r="O116" i="26"/>
  <c r="Q110" i="26"/>
  <c r="P110" i="26"/>
  <c r="O110" i="26"/>
  <c r="Q107" i="26"/>
  <c r="P107" i="26"/>
  <c r="L107" i="26"/>
  <c r="O107" i="26" s="1"/>
  <c r="P104" i="26"/>
  <c r="Q86" i="26"/>
  <c r="P86" i="26"/>
  <c r="AG84" i="26"/>
  <c r="AG83" i="26"/>
  <c r="Q83" i="26"/>
  <c r="P83" i="26"/>
  <c r="O83" i="26"/>
  <c r="AG80" i="26"/>
  <c r="Q80" i="26"/>
  <c r="P80" i="26"/>
  <c r="O80" i="26"/>
  <c r="AG78" i="26"/>
  <c r="AG77" i="26"/>
  <c r="Q77" i="26"/>
  <c r="P77" i="26"/>
  <c r="O77" i="26"/>
  <c r="Q74" i="26"/>
  <c r="P74" i="26"/>
  <c r="O74" i="26"/>
  <c r="AG72" i="26"/>
  <c r="AG71" i="26"/>
  <c r="Q71" i="26"/>
  <c r="P71" i="26"/>
  <c r="O71" i="26"/>
  <c r="Q68" i="26"/>
  <c r="P68" i="26"/>
  <c r="L68" i="26"/>
  <c r="O68" i="26" s="1"/>
  <c r="Q65" i="26"/>
  <c r="P65" i="26"/>
  <c r="L65" i="26"/>
  <c r="O65" i="26" s="1"/>
  <c r="Q62" i="26"/>
  <c r="P62" i="26"/>
  <c r="O62" i="26"/>
  <c r="Q59" i="26"/>
  <c r="P59" i="26"/>
  <c r="L59" i="26"/>
  <c r="O59" i="26" s="1"/>
  <c r="V59" i="26" s="1"/>
  <c r="Q56" i="26"/>
  <c r="P56" i="26"/>
  <c r="O56" i="26"/>
  <c r="AG53" i="26"/>
  <c r="Q53" i="26"/>
  <c r="P53" i="26"/>
  <c r="O53" i="26"/>
  <c r="Q50" i="26"/>
  <c r="Q44" i="26"/>
  <c r="Q41" i="26"/>
  <c r="Q38" i="26"/>
  <c r="AG35" i="26"/>
  <c r="Q35" i="26"/>
  <c r="M122" i="26"/>
  <c r="Q11" i="26"/>
  <c r="P11" i="26"/>
  <c r="O11" i="26"/>
  <c r="Q8" i="26"/>
  <c r="P8" i="26"/>
  <c r="Q5" i="26"/>
  <c r="P5" i="26"/>
  <c r="AA6" i="15"/>
  <c r="X6" i="15"/>
  <c r="AB6" i="15" s="1"/>
  <c r="R122" i="27" l="1"/>
  <c r="S122" i="27" s="1"/>
  <c r="U122" i="27" s="1"/>
  <c r="R119" i="27"/>
  <c r="S119" i="27" s="1"/>
  <c r="Y119" i="27" s="1"/>
  <c r="R89" i="27"/>
  <c r="S89" i="27" s="1"/>
  <c r="U89" i="27" s="1"/>
  <c r="R101" i="27"/>
  <c r="S101" i="27" s="1"/>
  <c r="U101" i="27" s="1"/>
  <c r="U92" i="26"/>
  <c r="V92" i="26"/>
  <c r="AB92" i="26" s="1"/>
  <c r="AH92" i="26" s="1"/>
  <c r="U89" i="26"/>
  <c r="V89" i="26"/>
  <c r="AB89" i="26" s="1"/>
  <c r="AH89" i="26" s="1"/>
  <c r="V95" i="26"/>
  <c r="AB95" i="26" s="1"/>
  <c r="AH95" i="26" s="1"/>
  <c r="U95" i="26"/>
  <c r="R131" i="27"/>
  <c r="S131" i="27" s="1"/>
  <c r="U131" i="27" s="1"/>
  <c r="U101" i="26"/>
  <c r="V33" i="15"/>
  <c r="W33" i="15"/>
  <c r="X33" i="15" s="1"/>
  <c r="R26" i="27"/>
  <c r="S26" i="27" s="1"/>
  <c r="U26" i="27" s="1"/>
  <c r="R116" i="27"/>
  <c r="S116" i="27" s="1"/>
  <c r="Y116" i="27" s="1"/>
  <c r="P191" i="27"/>
  <c r="R35" i="27"/>
  <c r="S35" i="27" s="1"/>
  <c r="Y35" i="27" s="1"/>
  <c r="R80" i="27"/>
  <c r="S80" i="27" s="1"/>
  <c r="V80" i="27" s="1"/>
  <c r="R110" i="27"/>
  <c r="S110" i="27" s="1"/>
  <c r="V110" i="27" s="1"/>
  <c r="U14" i="26"/>
  <c r="R17" i="27"/>
  <c r="S17" i="27" s="1"/>
  <c r="Y17" i="27" s="1"/>
  <c r="R104" i="27"/>
  <c r="S104" i="27" s="1"/>
  <c r="U104" i="27" s="1"/>
  <c r="R83" i="27"/>
  <c r="S83" i="27" s="1"/>
  <c r="Y83" i="27" s="1"/>
  <c r="R113" i="27"/>
  <c r="S113" i="27" s="1"/>
  <c r="U113" i="27" s="1"/>
  <c r="U98" i="26"/>
  <c r="V101" i="26"/>
  <c r="AB101" i="26" s="1"/>
  <c r="Y101" i="26"/>
  <c r="V98" i="26"/>
  <c r="AB98" i="26" s="1"/>
  <c r="AH98" i="26" s="1"/>
  <c r="U17" i="26"/>
  <c r="V17" i="26"/>
  <c r="AB17" i="26" s="1"/>
  <c r="AH17" i="26" s="1"/>
  <c r="V14" i="26"/>
  <c r="X14" i="26" s="1"/>
  <c r="Y23" i="26"/>
  <c r="U20" i="26"/>
  <c r="V20" i="26"/>
  <c r="X20" i="26" s="1"/>
  <c r="U32" i="26"/>
  <c r="V23" i="26"/>
  <c r="AB23" i="26" s="1"/>
  <c r="Y26" i="26"/>
  <c r="V32" i="26"/>
  <c r="AB32" i="26" s="1"/>
  <c r="AH32" i="26" s="1"/>
  <c r="U26" i="26"/>
  <c r="AB26" i="26"/>
  <c r="X26" i="26"/>
  <c r="R38" i="26"/>
  <c r="S38" i="26" s="1"/>
  <c r="V38" i="26" s="1"/>
  <c r="R53" i="26"/>
  <c r="S53" i="26" s="1"/>
  <c r="Y53" i="26" s="1"/>
  <c r="R119" i="26"/>
  <c r="S119" i="26" s="1"/>
  <c r="V119" i="26" s="1"/>
  <c r="R104" i="26"/>
  <c r="S104" i="26" s="1"/>
  <c r="V104" i="26" s="1"/>
  <c r="R110" i="26"/>
  <c r="S110" i="26" s="1"/>
  <c r="V110" i="26" s="1"/>
  <c r="R107" i="26"/>
  <c r="S107" i="26" s="1"/>
  <c r="V107" i="26" s="1"/>
  <c r="R56" i="26"/>
  <c r="S56" i="26" s="1"/>
  <c r="U56" i="26" s="1"/>
  <c r="W34" i="15"/>
  <c r="X34" i="15" s="1"/>
  <c r="Y33" i="15" s="1"/>
  <c r="Z33" i="15"/>
  <c r="AI33" i="15" s="1"/>
  <c r="AK33" i="15"/>
  <c r="AL33" i="15"/>
  <c r="Q191" i="27"/>
  <c r="R125" i="27"/>
  <c r="S125" i="27" s="1"/>
  <c r="Y125" i="27" s="1"/>
  <c r="R20" i="27"/>
  <c r="S20" i="27" s="1"/>
  <c r="U20" i="27" s="1"/>
  <c r="R92" i="27"/>
  <c r="S92" i="27" s="1"/>
  <c r="U92" i="27" s="1"/>
  <c r="AG191" i="27"/>
  <c r="R128" i="27"/>
  <c r="S128" i="27" s="1"/>
  <c r="Y128" i="27" s="1"/>
  <c r="R59" i="27"/>
  <c r="S59" i="27" s="1"/>
  <c r="U59" i="27" s="1"/>
  <c r="R107" i="27"/>
  <c r="S107" i="27" s="1"/>
  <c r="U107" i="27" s="1"/>
  <c r="R86" i="27"/>
  <c r="S86" i="27" s="1"/>
  <c r="U86" i="27" s="1"/>
  <c r="R95" i="27"/>
  <c r="S95" i="27" s="1"/>
  <c r="U95" i="27" s="1"/>
  <c r="R77" i="27"/>
  <c r="S77" i="27" s="1"/>
  <c r="Y77" i="27" s="1"/>
  <c r="R98" i="27"/>
  <c r="S98" i="27" s="1"/>
  <c r="Y98" i="27" s="1"/>
  <c r="R38" i="27"/>
  <c r="S38" i="27" s="1"/>
  <c r="R5" i="27"/>
  <c r="R77" i="26"/>
  <c r="S77" i="26" s="1"/>
  <c r="U77" i="26" s="1"/>
  <c r="R8" i="26"/>
  <c r="S8" i="26" s="1"/>
  <c r="Y8" i="26" s="1"/>
  <c r="R59" i="26"/>
  <c r="S59" i="26" s="1"/>
  <c r="U59" i="26" s="1"/>
  <c r="R71" i="26"/>
  <c r="S71" i="26" s="1"/>
  <c r="Y71" i="26" s="1"/>
  <c r="R41" i="26"/>
  <c r="S41" i="26" s="1"/>
  <c r="V41" i="26" s="1"/>
  <c r="R83" i="26"/>
  <c r="S83" i="26" s="1"/>
  <c r="U83" i="26" s="1"/>
  <c r="L122" i="26"/>
  <c r="R44" i="26"/>
  <c r="S44" i="26" s="1"/>
  <c r="R65" i="26"/>
  <c r="S65" i="26" s="1"/>
  <c r="V65" i="26" s="1"/>
  <c r="R86" i="26"/>
  <c r="S86" i="26" s="1"/>
  <c r="Y86" i="26" s="1"/>
  <c r="R116" i="26"/>
  <c r="S116" i="26" s="1"/>
  <c r="U116" i="26" s="1"/>
  <c r="O35" i="26"/>
  <c r="O122" i="26" s="1"/>
  <c r="R50" i="26"/>
  <c r="S50" i="26" s="1"/>
  <c r="V50" i="26" s="1"/>
  <c r="R68" i="26"/>
  <c r="S68" i="26" s="1"/>
  <c r="V68" i="26" s="1"/>
  <c r="R62" i="26"/>
  <c r="S62" i="26" s="1"/>
  <c r="V62" i="26" s="1"/>
  <c r="R11" i="26"/>
  <c r="S11" i="26" s="1"/>
  <c r="Y11" i="26" s="1"/>
  <c r="R80" i="26"/>
  <c r="S80" i="26" s="1"/>
  <c r="V80" i="26" s="1"/>
  <c r="R74" i="26"/>
  <c r="S74" i="26" s="1"/>
  <c r="U74" i="26" s="1"/>
  <c r="Q122" i="26"/>
  <c r="P35" i="26"/>
  <c r="P122" i="26" s="1"/>
  <c r="R5" i="26"/>
  <c r="U80" i="27" l="1"/>
  <c r="Y80" i="27"/>
  <c r="U35" i="27"/>
  <c r="Y110" i="27"/>
  <c r="X92" i="26"/>
  <c r="V122" i="27"/>
  <c r="AB122" i="27" s="1"/>
  <c r="Y122" i="27"/>
  <c r="U119" i="27"/>
  <c r="V119" i="27"/>
  <c r="AB119" i="27" s="1"/>
  <c r="AH119" i="27" s="1"/>
  <c r="U110" i="27"/>
  <c r="V89" i="27"/>
  <c r="AH89" i="27" s="1"/>
  <c r="V101" i="27"/>
  <c r="X101" i="27" s="1"/>
  <c r="Y101" i="27"/>
  <c r="U116" i="27"/>
  <c r="V116" i="27"/>
  <c r="AB116" i="27" s="1"/>
  <c r="AH116" i="27" s="1"/>
  <c r="V95" i="27"/>
  <c r="X95" i="27" s="1"/>
  <c r="V107" i="27"/>
  <c r="Y104" i="27"/>
  <c r="V104" i="27"/>
  <c r="AB104" i="27" s="1"/>
  <c r="V131" i="27"/>
  <c r="AB131" i="27" s="1"/>
  <c r="V113" i="27"/>
  <c r="AB113" i="27" s="1"/>
  <c r="Y113" i="27"/>
  <c r="Y131" i="27"/>
  <c r="V92" i="27"/>
  <c r="AB92" i="27" s="1"/>
  <c r="X95" i="26"/>
  <c r="X89" i="26"/>
  <c r="V26" i="27"/>
  <c r="AB26" i="27" s="1"/>
  <c r="Y26" i="27"/>
  <c r="AB20" i="27"/>
  <c r="X59" i="27"/>
  <c r="Y92" i="27"/>
  <c r="V86" i="27"/>
  <c r="X86" i="27" s="1"/>
  <c r="Y107" i="27"/>
  <c r="Y59" i="27"/>
  <c r="U125" i="27"/>
  <c r="U128" i="27"/>
  <c r="V128" i="27"/>
  <c r="AB128" i="27" s="1"/>
  <c r="AH128" i="27" s="1"/>
  <c r="V125" i="27"/>
  <c r="AB125" i="27" s="1"/>
  <c r="AH125" i="27" s="1"/>
  <c r="O191" i="27"/>
  <c r="X17" i="26"/>
  <c r="AH101" i="26"/>
  <c r="AB14" i="26"/>
  <c r="AH14" i="26" s="1"/>
  <c r="U83" i="27"/>
  <c r="Y20" i="27"/>
  <c r="X101" i="26"/>
  <c r="U17" i="27"/>
  <c r="V17" i="27"/>
  <c r="AB17" i="27" s="1"/>
  <c r="AH17" i="27" s="1"/>
  <c r="AA33" i="15"/>
  <c r="AB33" i="15" s="1"/>
  <c r="AC33" i="15" s="1"/>
  <c r="V83" i="27"/>
  <c r="AB83" i="27" s="1"/>
  <c r="AH83" i="27" s="1"/>
  <c r="X98" i="26"/>
  <c r="AB20" i="26"/>
  <c r="AH20" i="26" s="1"/>
  <c r="AH23" i="26"/>
  <c r="X23" i="26"/>
  <c r="AH26" i="26"/>
  <c r="X32" i="26"/>
  <c r="U53" i="26"/>
  <c r="V53" i="26"/>
  <c r="AB53" i="26" s="1"/>
  <c r="AH53" i="26" s="1"/>
  <c r="Y104" i="26"/>
  <c r="Y38" i="26"/>
  <c r="U104" i="26"/>
  <c r="U38" i="26"/>
  <c r="Y110" i="26"/>
  <c r="U110" i="26"/>
  <c r="Y119" i="26"/>
  <c r="U107" i="26"/>
  <c r="U119" i="26"/>
  <c r="Y107" i="26"/>
  <c r="V56" i="26"/>
  <c r="AH56" i="26" s="1"/>
  <c r="AB59" i="26"/>
  <c r="Y77" i="26"/>
  <c r="Y59" i="26"/>
  <c r="V77" i="26"/>
  <c r="AB77" i="26" s="1"/>
  <c r="U71" i="26"/>
  <c r="V71" i="26"/>
  <c r="AB71" i="26" s="1"/>
  <c r="AH71" i="26" s="1"/>
  <c r="U65" i="26"/>
  <c r="Y80" i="26"/>
  <c r="V83" i="26"/>
  <c r="X83" i="26" s="1"/>
  <c r="U41" i="26"/>
  <c r="Y41" i="26"/>
  <c r="Y83" i="26"/>
  <c r="Y44" i="26"/>
  <c r="V44" i="26"/>
  <c r="AB44" i="26" s="1"/>
  <c r="U8" i="26"/>
  <c r="AB8" i="26"/>
  <c r="AH8" i="26" s="1"/>
  <c r="Y86" i="27"/>
  <c r="U98" i="27"/>
  <c r="Y95" i="27"/>
  <c r="U77" i="27"/>
  <c r="V77" i="27"/>
  <c r="AB77" i="27" s="1"/>
  <c r="AH77" i="27" s="1"/>
  <c r="V98" i="27"/>
  <c r="X98" i="27" s="1"/>
  <c r="X110" i="27"/>
  <c r="AB110" i="27"/>
  <c r="AH110" i="27" s="1"/>
  <c r="AB107" i="27"/>
  <c r="X107" i="27"/>
  <c r="S5" i="27"/>
  <c r="R191" i="27"/>
  <c r="AB80" i="27"/>
  <c r="AH80" i="27" s="1"/>
  <c r="X80" i="27"/>
  <c r="Y38" i="27"/>
  <c r="V38" i="27"/>
  <c r="U38" i="27"/>
  <c r="AB35" i="27"/>
  <c r="AH35" i="27" s="1"/>
  <c r="X35" i="27"/>
  <c r="U86" i="26"/>
  <c r="U44" i="26"/>
  <c r="V86" i="26"/>
  <c r="AB86" i="26" s="1"/>
  <c r="AH86" i="26" s="1"/>
  <c r="AG122" i="26"/>
  <c r="Y65" i="26"/>
  <c r="U68" i="26"/>
  <c r="Y50" i="26"/>
  <c r="U80" i="26"/>
  <c r="U50" i="26"/>
  <c r="Y62" i="26"/>
  <c r="U11" i="26"/>
  <c r="U62" i="26"/>
  <c r="V74" i="26"/>
  <c r="AB74" i="26" s="1"/>
  <c r="Y116" i="26"/>
  <c r="V11" i="26"/>
  <c r="X11" i="26" s="1"/>
  <c r="Y68" i="26"/>
  <c r="Y74" i="26"/>
  <c r="AB116" i="26"/>
  <c r="AB38" i="26"/>
  <c r="X38" i="26"/>
  <c r="X119" i="26"/>
  <c r="AB119" i="26"/>
  <c r="AB107" i="26"/>
  <c r="X107" i="26"/>
  <c r="AB80" i="26"/>
  <c r="X80" i="26"/>
  <c r="AB50" i="26"/>
  <c r="X50" i="26"/>
  <c r="AB104" i="26"/>
  <c r="X104" i="26"/>
  <c r="AB65" i="26"/>
  <c r="X65" i="26"/>
  <c r="AB62" i="26"/>
  <c r="X62" i="26"/>
  <c r="AB110" i="26"/>
  <c r="X110" i="26"/>
  <c r="R35" i="26"/>
  <c r="S35" i="26" s="1"/>
  <c r="V35" i="26" s="1"/>
  <c r="S5" i="26"/>
  <c r="AB68" i="26"/>
  <c r="X68" i="26"/>
  <c r="AB41" i="26"/>
  <c r="X41" i="26"/>
  <c r="X122" i="27" l="1"/>
  <c r="AH104" i="27"/>
  <c r="AH122" i="27"/>
  <c r="AB86" i="27"/>
  <c r="X119" i="27"/>
  <c r="AB101" i="27"/>
  <c r="AH101" i="27" s="1"/>
  <c r="X116" i="27"/>
  <c r="X89" i="27"/>
  <c r="AB95" i="27"/>
  <c r="AH95" i="27" s="1"/>
  <c r="X131" i="27"/>
  <c r="AH92" i="27"/>
  <c r="AH20" i="27"/>
  <c r="X113" i="27"/>
  <c r="AH131" i="27"/>
  <c r="X104" i="27"/>
  <c r="AH113" i="27"/>
  <c r="AH107" i="27"/>
  <c r="X92" i="27"/>
  <c r="X83" i="27"/>
  <c r="X17" i="27"/>
  <c r="X26" i="27"/>
  <c r="X128" i="27"/>
  <c r="AB59" i="27"/>
  <c r="AH59" i="27" s="1"/>
  <c r="AH26" i="27"/>
  <c r="X20" i="27"/>
  <c r="AB98" i="27"/>
  <c r="AH98" i="27" s="1"/>
  <c r="X125" i="27"/>
  <c r="X77" i="27"/>
  <c r="AH77" i="26"/>
  <c r="X56" i="26"/>
  <c r="AH38" i="26"/>
  <c r="AH86" i="27"/>
  <c r="X59" i="26"/>
  <c r="AH104" i="26"/>
  <c r="X53" i="26"/>
  <c r="AH107" i="26"/>
  <c r="AH119" i="26"/>
  <c r="AH59" i="26"/>
  <c r="AB83" i="26"/>
  <c r="AH83" i="26" s="1"/>
  <c r="X71" i="26"/>
  <c r="AH110" i="26"/>
  <c r="X86" i="26"/>
  <c r="AH44" i="26"/>
  <c r="AH65" i="26"/>
  <c r="AH80" i="26"/>
  <c r="X77" i="26"/>
  <c r="X44" i="26"/>
  <c r="AH41" i="26"/>
  <c r="AH62" i="26"/>
  <c r="X8" i="26"/>
  <c r="AB11" i="26"/>
  <c r="AH11" i="26" s="1"/>
  <c r="V5" i="27"/>
  <c r="S191" i="27"/>
  <c r="C12" i="16" s="1"/>
  <c r="Y5" i="27"/>
  <c r="Y191" i="27" s="1"/>
  <c r="I12" i="16" s="1"/>
  <c r="U5" i="27"/>
  <c r="U191" i="27" s="1"/>
  <c r="E12" i="16" s="1"/>
  <c r="AB38" i="27"/>
  <c r="AH38" i="27" s="1"/>
  <c r="X38" i="27"/>
  <c r="X116" i="26"/>
  <c r="AH50" i="26"/>
  <c r="X74" i="26"/>
  <c r="AH116" i="26"/>
  <c r="AH68" i="26"/>
  <c r="R122" i="26"/>
  <c r="AH74" i="26"/>
  <c r="Y5" i="26"/>
  <c r="U5" i="26"/>
  <c r="S122" i="26"/>
  <c r="C11" i="16" s="1"/>
  <c r="Y35" i="26"/>
  <c r="U35" i="26"/>
  <c r="X5" i="27" l="1"/>
  <c r="X191" i="27" s="1"/>
  <c r="H12" i="16" s="1"/>
  <c r="V191" i="27"/>
  <c r="F12" i="16" s="1"/>
  <c r="AB5" i="27"/>
  <c r="AB191" i="27" s="1"/>
  <c r="AB35" i="26"/>
  <c r="AH35" i="26" s="1"/>
  <c r="X35" i="26"/>
  <c r="X5" i="26"/>
  <c r="AB5" i="26"/>
  <c r="AB122" i="26" s="1"/>
  <c r="V122" i="26"/>
  <c r="F11" i="16" s="1"/>
  <c r="U122" i="26"/>
  <c r="E11" i="16" s="1"/>
  <c r="Y122" i="26"/>
  <c r="I11" i="16" s="1"/>
  <c r="V13" i="23"/>
  <c r="X13" i="23" s="1"/>
  <c r="V19" i="23"/>
  <c r="X19" i="23" s="1"/>
  <c r="V21" i="23"/>
  <c r="X21" i="23" s="1"/>
  <c r="R17" i="23"/>
  <c r="O15" i="23"/>
  <c r="R15" i="23" s="1"/>
  <c r="R11" i="23"/>
  <c r="U11" i="23" s="1"/>
  <c r="M32" i="23"/>
  <c r="L32" i="23" s="1"/>
  <c r="O32" i="23" s="1"/>
  <c r="R32" i="23" s="1"/>
  <c r="P29" i="23"/>
  <c r="Q35" i="23"/>
  <c r="T35" i="23" s="1"/>
  <c r="M35" i="23"/>
  <c r="P35" i="23" s="1"/>
  <c r="S35" i="23" s="1"/>
  <c r="U44" i="19"/>
  <c r="V44" i="19" s="1"/>
  <c r="Z44" i="19" s="1"/>
  <c r="U45" i="19"/>
  <c r="V45" i="19" s="1"/>
  <c r="U46" i="19"/>
  <c r="V46" i="19" s="1"/>
  <c r="Z46" i="19" s="1"/>
  <c r="U47" i="19"/>
  <c r="V47" i="19" s="1"/>
  <c r="Z47" i="19" s="1"/>
  <c r="U43" i="19"/>
  <c r="V43" i="19" s="1"/>
  <c r="Z43" i="19" s="1"/>
  <c r="AD26" i="13"/>
  <c r="AD23" i="13"/>
  <c r="Z45" i="19" l="1"/>
  <c r="AA45" i="19" s="1"/>
  <c r="AB45" i="19" s="1"/>
  <c r="AC45" i="19" s="1"/>
  <c r="U15" i="23"/>
  <c r="V15" i="23" s="1"/>
  <c r="X15" i="23" s="1"/>
  <c r="U17" i="23"/>
  <c r="V17" i="23" s="1"/>
  <c r="X17" i="23" s="1"/>
  <c r="AH5" i="26"/>
  <c r="AH122" i="26" s="1"/>
  <c r="X122" i="26"/>
  <c r="H11" i="16" s="1"/>
  <c r="AH5" i="27"/>
  <c r="AH191" i="27" s="1"/>
  <c r="W43" i="19"/>
  <c r="AA47" i="19"/>
  <c r="AB47" i="19" s="1"/>
  <c r="AC47" i="19" s="1"/>
  <c r="W47" i="19"/>
  <c r="AA46" i="19"/>
  <c r="AB46" i="19" s="1"/>
  <c r="AC46" i="19" s="1"/>
  <c r="W46" i="19"/>
  <c r="AA44" i="19"/>
  <c r="AB44" i="19" s="1"/>
  <c r="AC44" i="19" s="1"/>
  <c r="W44" i="19"/>
  <c r="W45" i="19"/>
  <c r="L35" i="23"/>
  <c r="O35" i="23" s="1"/>
  <c r="R35" i="23" s="1"/>
  <c r="P32" i="23"/>
  <c r="S32" i="23" s="1"/>
  <c r="AD5" i="13"/>
  <c r="AA43" i="19" l="1"/>
  <c r="AB43" i="19" s="1"/>
  <c r="AC43" i="19" s="1"/>
  <c r="O10" i="14"/>
  <c r="N10" i="14"/>
  <c r="AC63" i="13" l="1"/>
  <c r="AC64" i="13"/>
  <c r="AH9" i="15"/>
  <c r="AG9" i="15"/>
  <c r="AE44" i="14"/>
  <c r="AH77" i="15"/>
  <c r="AB18" i="20"/>
  <c r="AG20" i="15"/>
  <c r="AD20" i="13"/>
  <c r="AH20" i="15"/>
  <c r="AH5" i="15"/>
  <c r="AD38" i="14"/>
  <c r="AG77" i="15"/>
  <c r="AD14" i="13"/>
  <c r="AH88" i="15"/>
  <c r="AH92" i="15"/>
  <c r="AH91" i="15"/>
  <c r="AH55" i="15"/>
  <c r="AL21" i="15"/>
  <c r="AK28" i="15"/>
  <c r="AK27" i="15"/>
  <c r="AK26" i="15"/>
  <c r="AL68" i="15"/>
  <c r="AK68" i="15"/>
  <c r="AK64" i="15"/>
  <c r="AK63" i="15"/>
  <c r="AG55" i="15"/>
  <c r="AG76" i="15"/>
  <c r="AG91" i="15"/>
  <c r="AG90" i="15"/>
  <c r="AL92" i="15" l="1"/>
  <c r="AG92" i="15"/>
  <c r="AG88" i="15"/>
  <c r="AC14" i="13"/>
  <c r="AG48" i="19"/>
  <c r="AG7" i="19"/>
  <c r="AH76" i="15"/>
  <c r="AH7" i="19"/>
  <c r="AH21" i="19"/>
  <c r="AE7" i="14"/>
  <c r="AD92" i="13"/>
  <c r="AE5" i="14"/>
  <c r="AE47" i="14"/>
  <c r="AE50" i="14"/>
  <c r="AH35" i="15"/>
  <c r="AL35" i="15" s="1"/>
  <c r="AH25" i="19"/>
  <c r="AG35" i="15"/>
  <c r="AC92" i="13"/>
  <c r="AD5" i="14"/>
  <c r="AG7" i="15" l="1"/>
  <c r="AG25" i="19"/>
  <c r="AD50" i="14"/>
  <c r="AD47" i="14"/>
  <c r="AD28" i="13"/>
  <c r="AH61" i="15"/>
  <c r="AH84" i="15"/>
  <c r="AG61" i="15"/>
  <c r="AG86" i="15"/>
  <c r="AD44" i="14"/>
  <c r="AC28" i="13"/>
  <c r="AH18" i="15"/>
  <c r="AD76" i="13"/>
  <c r="AE26" i="14"/>
  <c r="AD39" i="13"/>
  <c r="AD72" i="13"/>
  <c r="AH40" i="15"/>
  <c r="AH16" i="15"/>
  <c r="AG18" i="15"/>
  <c r="AG40" i="15"/>
  <c r="AC72" i="13"/>
  <c r="AC39" i="13"/>
  <c r="AD26" i="14"/>
  <c r="AC76" i="13"/>
  <c r="AD17" i="13"/>
  <c r="AE41" i="14"/>
  <c r="AH31" i="15"/>
  <c r="AC20" i="13"/>
  <c r="AC5" i="13"/>
  <c r="AC17" i="13"/>
  <c r="AG31" i="15"/>
  <c r="AD41" i="14"/>
  <c r="AD8" i="13"/>
  <c r="AD34" i="13"/>
  <c r="AD11" i="13"/>
  <c r="AC8" i="13" l="1"/>
  <c r="AC11" i="13"/>
  <c r="AC34" i="13"/>
  <c r="AB22" i="13"/>
  <c r="AB19" i="13"/>
  <c r="AD67" i="13"/>
  <c r="AH67" i="13" s="1"/>
  <c r="AD64" i="13"/>
  <c r="AH64" i="13" s="1"/>
  <c r="AD68" i="13"/>
  <c r="AH68" i="13" s="1"/>
  <c r="AD63" i="13"/>
  <c r="AH63" i="13" s="1"/>
  <c r="AC67" i="13"/>
  <c r="AC68" i="13"/>
  <c r="J14" i="16" l="1"/>
  <c r="K14" i="16"/>
  <c r="A6" i="16"/>
  <c r="A7" i="16" s="1"/>
  <c r="A8" i="16" s="1"/>
  <c r="A9" i="16" s="1"/>
  <c r="A10" i="16" s="1"/>
  <c r="A11" i="16" s="1"/>
  <c r="A12" i="16" s="1"/>
  <c r="A13" i="16" s="1"/>
  <c r="B6" i="16"/>
  <c r="B7" i="16" s="1"/>
  <c r="B8" i="16" s="1"/>
  <c r="B9" i="16" s="1"/>
  <c r="B10" i="16" s="1"/>
  <c r="B11" i="16" s="1"/>
  <c r="B12" i="16" s="1"/>
  <c r="B13" i="16" s="1"/>
  <c r="Y51" i="14"/>
  <c r="Y50" i="14"/>
  <c r="Y48" i="14"/>
  <c r="Y47" i="14"/>
  <c r="S50" i="14"/>
  <c r="R50" i="14"/>
  <c r="Q50" i="14"/>
  <c r="AI50" i="14" s="1"/>
  <c r="S47" i="14"/>
  <c r="R47" i="14"/>
  <c r="Q47" i="14"/>
  <c r="AI47" i="14" s="1"/>
  <c r="S44" i="14"/>
  <c r="R44" i="14"/>
  <c r="Q44" i="14"/>
  <c r="Y42" i="14"/>
  <c r="S41" i="14"/>
  <c r="R41" i="14"/>
  <c r="Q41" i="14"/>
  <c r="AI41" i="14" s="1"/>
  <c r="Y39" i="14"/>
  <c r="Y38" i="14"/>
  <c r="Y40" i="14"/>
  <c r="S38" i="14"/>
  <c r="R38" i="14"/>
  <c r="Q38" i="14"/>
  <c r="Y37" i="14"/>
  <c r="Y36" i="14"/>
  <c r="Y35" i="14"/>
  <c r="S35" i="14"/>
  <c r="R35" i="14"/>
  <c r="Q35" i="14"/>
  <c r="AI35" i="14" s="1"/>
  <c r="K32" i="14"/>
  <c r="Y34" i="14"/>
  <c r="Y33" i="14"/>
  <c r="S32" i="14"/>
  <c r="R32" i="14"/>
  <c r="AC31" i="14"/>
  <c r="AC30" i="14"/>
  <c r="AC29" i="14"/>
  <c r="AC28" i="14"/>
  <c r="AC27" i="14"/>
  <c r="AC26" i="14"/>
  <c r="Y27" i="14"/>
  <c r="S27" i="14"/>
  <c r="S28" i="14"/>
  <c r="S29" i="14"/>
  <c r="S30" i="14"/>
  <c r="S31" i="14"/>
  <c r="S26" i="14"/>
  <c r="Q16" i="14"/>
  <c r="T26" i="14"/>
  <c r="Y26" i="14"/>
  <c r="T19" i="14"/>
  <c r="AC25" i="14"/>
  <c r="AC24" i="14"/>
  <c r="AC23" i="14"/>
  <c r="AC22" i="14"/>
  <c r="AC21" i="14"/>
  <c r="AC20" i="14"/>
  <c r="AC19" i="14"/>
  <c r="Y19" i="14"/>
  <c r="S19" i="14"/>
  <c r="Y17" i="14"/>
  <c r="Y18" i="14"/>
  <c r="Y16" i="14"/>
  <c r="S16" i="14"/>
  <c r="R16" i="14"/>
  <c r="AC15" i="14"/>
  <c r="AC14" i="14"/>
  <c r="AC13" i="14"/>
  <c r="N13" i="14"/>
  <c r="Q13" i="14" s="1"/>
  <c r="AI13" i="14" s="1"/>
  <c r="O13" i="14"/>
  <c r="R13" i="14" s="1"/>
  <c r="Y15" i="14"/>
  <c r="Y14" i="14"/>
  <c r="Y13" i="14"/>
  <c r="S13" i="14"/>
  <c r="Y12" i="14"/>
  <c r="Y11" i="14"/>
  <c r="Y10" i="14"/>
  <c r="S10" i="14"/>
  <c r="AI10" i="14"/>
  <c r="AC9" i="14"/>
  <c r="AC8" i="14"/>
  <c r="AC7" i="14"/>
  <c r="Y9" i="14"/>
  <c r="Y8" i="14"/>
  <c r="Y7" i="14"/>
  <c r="S7" i="14"/>
  <c r="R7" i="14"/>
  <c r="Q7" i="14"/>
  <c r="AI7" i="14" s="1"/>
  <c r="Y6" i="14"/>
  <c r="Y5" i="14"/>
  <c r="S5" i="14"/>
  <c r="R5" i="14"/>
  <c r="Q5" i="14"/>
  <c r="AI5" i="14" s="1"/>
  <c r="V53" i="14"/>
  <c r="D6" i="16" s="1"/>
  <c r="P53" i="14"/>
  <c r="L94" i="13"/>
  <c r="R92" i="13"/>
  <c r="Q92" i="13"/>
  <c r="P92" i="13"/>
  <c r="AH92" i="13" s="1"/>
  <c r="Q90" i="13"/>
  <c r="P90" i="13"/>
  <c r="X87" i="13"/>
  <c r="Q87" i="13"/>
  <c r="P87" i="13"/>
  <c r="P79" i="13"/>
  <c r="Q79" i="13"/>
  <c r="P80" i="13"/>
  <c r="Q80" i="13"/>
  <c r="P81" i="13"/>
  <c r="Q81" i="13"/>
  <c r="P82" i="13"/>
  <c r="Q82" i="13"/>
  <c r="P83" i="13"/>
  <c r="Q83" i="13"/>
  <c r="P84" i="13"/>
  <c r="Q84" i="13"/>
  <c r="Q85" i="13"/>
  <c r="Q86" i="13"/>
  <c r="X80" i="13"/>
  <c r="X79" i="13"/>
  <c r="R87" i="13"/>
  <c r="X76" i="13"/>
  <c r="X73" i="13"/>
  <c r="R78" i="13"/>
  <c r="Q78" i="13"/>
  <c r="P78" i="13"/>
  <c r="R77" i="13"/>
  <c r="Q77" i="13"/>
  <c r="P77" i="13"/>
  <c r="R76" i="13"/>
  <c r="Q76" i="13"/>
  <c r="P76" i="13"/>
  <c r="R75" i="13"/>
  <c r="Q75" i="13"/>
  <c r="P75" i="13"/>
  <c r="R74" i="13"/>
  <c r="Q74" i="13"/>
  <c r="P74" i="13"/>
  <c r="R73" i="13"/>
  <c r="Q73" i="13"/>
  <c r="P73" i="13"/>
  <c r="R72" i="13"/>
  <c r="Q72" i="13"/>
  <c r="P72" i="13"/>
  <c r="X71" i="13"/>
  <c r="X70" i="13"/>
  <c r="X68" i="13"/>
  <c r="X67" i="13"/>
  <c r="X64" i="13"/>
  <c r="X63" i="13"/>
  <c r="R71" i="13"/>
  <c r="R70" i="13"/>
  <c r="Q71" i="13"/>
  <c r="Q70" i="13"/>
  <c r="P71" i="13"/>
  <c r="P70" i="13"/>
  <c r="S68" i="13"/>
  <c r="T68" i="13" s="1"/>
  <c r="V68" i="13" s="1"/>
  <c r="S67" i="13"/>
  <c r="T67" i="13" s="1"/>
  <c r="V67" i="13" s="1"/>
  <c r="S64" i="13"/>
  <c r="T64" i="13" s="1"/>
  <c r="S63" i="13"/>
  <c r="T63" i="13" s="1"/>
  <c r="X55" i="13"/>
  <c r="X54" i="13"/>
  <c r="S54" i="13"/>
  <c r="T54" i="13" s="1"/>
  <c r="W54" i="13" s="1"/>
  <c r="S55" i="13"/>
  <c r="T55" i="13" s="1"/>
  <c r="W55" i="13" s="1"/>
  <c r="S56" i="13"/>
  <c r="T56" i="13" s="1"/>
  <c r="W56" i="13" s="1"/>
  <c r="S57" i="13"/>
  <c r="T57" i="13" s="1"/>
  <c r="W57" i="13" s="1"/>
  <c r="S58" i="13"/>
  <c r="T58" i="13" s="1"/>
  <c r="W58" i="13" s="1"/>
  <c r="S59" i="13"/>
  <c r="T59" i="13" s="1"/>
  <c r="W59" i="13" s="1"/>
  <c r="S60" i="13"/>
  <c r="T60" i="13" s="1"/>
  <c r="W60" i="13" s="1"/>
  <c r="S61" i="13"/>
  <c r="T61" i="13" s="1"/>
  <c r="W61" i="13" s="1"/>
  <c r="S62" i="13"/>
  <c r="T62" i="13" s="1"/>
  <c r="W62" i="13" s="1"/>
  <c r="S40" i="13"/>
  <c r="T40" i="13" s="1"/>
  <c r="S41" i="13"/>
  <c r="T41" i="13" s="1"/>
  <c r="S42" i="13"/>
  <c r="T42" i="13" s="1"/>
  <c r="S43" i="13"/>
  <c r="T43" i="13" s="1"/>
  <c r="S44" i="13"/>
  <c r="T44" i="13" s="1"/>
  <c r="S45" i="13"/>
  <c r="T45" i="13" s="1"/>
  <c r="S46" i="13"/>
  <c r="T46" i="13" s="1"/>
  <c r="U46" i="13" s="1"/>
  <c r="S47" i="13"/>
  <c r="T47" i="13" s="1"/>
  <c r="S48" i="13"/>
  <c r="T48" i="13" s="1"/>
  <c r="S49" i="13"/>
  <c r="T49" i="13" s="1"/>
  <c r="S50" i="13"/>
  <c r="T50" i="13" s="1"/>
  <c r="U50" i="13" s="1"/>
  <c r="S51" i="13"/>
  <c r="T51" i="13" s="1"/>
  <c r="S52" i="13"/>
  <c r="T52" i="13" s="1"/>
  <c r="S53" i="13"/>
  <c r="T53" i="13" s="1"/>
  <c r="S39" i="13"/>
  <c r="T39" i="13" s="1"/>
  <c r="S35" i="13"/>
  <c r="T35" i="13" s="1"/>
  <c r="U35" i="13" s="1"/>
  <c r="S36" i="13"/>
  <c r="T36" i="13" s="1"/>
  <c r="S37" i="13"/>
  <c r="T37" i="13" s="1"/>
  <c r="S38" i="13"/>
  <c r="T38" i="13" s="1"/>
  <c r="S34" i="13"/>
  <c r="T34" i="13" s="1"/>
  <c r="S32" i="13"/>
  <c r="T32" i="13" s="1"/>
  <c r="AG32" i="13" s="1"/>
  <c r="S31" i="13"/>
  <c r="T31" i="13" s="1"/>
  <c r="S28" i="13"/>
  <c r="T28" i="13" s="1"/>
  <c r="AG28" i="13" s="1"/>
  <c r="S26" i="13"/>
  <c r="T26" i="13" s="1"/>
  <c r="AG26" i="13" s="1"/>
  <c r="X23" i="13"/>
  <c r="T23" i="13"/>
  <c r="X21" i="13"/>
  <c r="X20" i="13"/>
  <c r="X17" i="13"/>
  <c r="P20" i="13"/>
  <c r="Q20" i="13"/>
  <c r="R20" i="13"/>
  <c r="R17" i="13"/>
  <c r="Q17" i="13"/>
  <c r="P17" i="13"/>
  <c r="P14" i="13"/>
  <c r="Q14" i="13"/>
  <c r="R14" i="13"/>
  <c r="X8" i="13"/>
  <c r="X9" i="13"/>
  <c r="X10" i="13"/>
  <c r="X11" i="13"/>
  <c r="X12" i="13"/>
  <c r="X13" i="13"/>
  <c r="X14" i="13"/>
  <c r="X15" i="13"/>
  <c r="X16" i="13"/>
  <c r="Q8" i="13"/>
  <c r="Q11" i="13"/>
  <c r="P11" i="13"/>
  <c r="P8" i="13"/>
  <c r="X6" i="13"/>
  <c r="X7" i="13"/>
  <c r="X5" i="13"/>
  <c r="O11" i="13"/>
  <c r="R11" i="13" s="1"/>
  <c r="O8" i="13"/>
  <c r="R8" i="13" s="1"/>
  <c r="N5" i="13"/>
  <c r="Q5" i="13" s="1"/>
  <c r="O5" i="13"/>
  <c r="R5" i="13" s="1"/>
  <c r="M5" i="13"/>
  <c r="P5" i="13" s="1"/>
  <c r="AA62" i="15"/>
  <c r="AA61" i="15"/>
  <c r="AB9" i="15"/>
  <c r="R94" i="13" l="1"/>
  <c r="U39" i="13"/>
  <c r="W39" i="13" s="1"/>
  <c r="AG39" i="13"/>
  <c r="AG41" i="13" s="1"/>
  <c r="W23" i="13"/>
  <c r="AH23" i="13" s="1"/>
  <c r="AG23" i="13"/>
  <c r="AG67" i="13"/>
  <c r="V63" i="13"/>
  <c r="AG63" i="13"/>
  <c r="AG68" i="13"/>
  <c r="V64" i="13"/>
  <c r="AG64" i="13"/>
  <c r="S92" i="13"/>
  <c r="T92" i="13" s="1"/>
  <c r="Q94" i="13"/>
  <c r="S87" i="13"/>
  <c r="T87" i="13" s="1"/>
  <c r="S17" i="13"/>
  <c r="S79" i="13"/>
  <c r="T79" i="13" s="1"/>
  <c r="V79" i="13" s="1"/>
  <c r="S70" i="13"/>
  <c r="T70" i="13" s="1"/>
  <c r="W70" i="13" s="1"/>
  <c r="Y70" i="13" s="1"/>
  <c r="S72" i="13"/>
  <c r="T72" i="13" s="1"/>
  <c r="S76" i="13"/>
  <c r="T76" i="13" s="1"/>
  <c r="S71" i="13"/>
  <c r="T71" i="13" s="1"/>
  <c r="W71" i="13" s="1"/>
  <c r="Y71" i="13" s="1"/>
  <c r="T50" i="14"/>
  <c r="U50" i="14" s="1"/>
  <c r="T47" i="14"/>
  <c r="U47" i="14" s="1"/>
  <c r="AH47" i="14" s="1"/>
  <c r="T44" i="14"/>
  <c r="U44" i="14" s="1"/>
  <c r="T41" i="14"/>
  <c r="U41" i="14" s="1"/>
  <c r="T38" i="14"/>
  <c r="U38" i="14" s="1"/>
  <c r="T35" i="14"/>
  <c r="U35" i="14" s="1"/>
  <c r="AH35" i="14" s="1"/>
  <c r="T32" i="14"/>
  <c r="U32" i="14" s="1"/>
  <c r="X35" i="14"/>
  <c r="U26" i="14"/>
  <c r="U19" i="14"/>
  <c r="X19" i="14" s="1"/>
  <c r="AF19" i="14" s="1"/>
  <c r="T16" i="14"/>
  <c r="U16" i="14" s="1"/>
  <c r="X16" i="14" s="1"/>
  <c r="O53" i="14"/>
  <c r="T13" i="14"/>
  <c r="U13" i="14" s="1"/>
  <c r="S53" i="14"/>
  <c r="T7" i="14"/>
  <c r="U7" i="14" s="1"/>
  <c r="T10" i="14"/>
  <c r="U10" i="14" s="1"/>
  <c r="R53" i="14"/>
  <c r="Q53" i="14"/>
  <c r="T5" i="14"/>
  <c r="U5" i="14" s="1"/>
  <c r="AH5" i="14" s="1"/>
  <c r="N53" i="14"/>
  <c r="P94" i="13"/>
  <c r="W87" i="13"/>
  <c r="V87" i="13"/>
  <c r="N94" i="13"/>
  <c r="M94" i="13"/>
  <c r="S86" i="13"/>
  <c r="T86" i="13" s="1"/>
  <c r="V86" i="13" s="1"/>
  <c r="O94" i="13"/>
  <c r="S90" i="13"/>
  <c r="T90" i="13" s="1"/>
  <c r="W79" i="13"/>
  <c r="V54" i="13"/>
  <c r="AE23" i="13"/>
  <c r="Y23" i="13"/>
  <c r="Y54" i="13"/>
  <c r="U26" i="13"/>
  <c r="V23" i="13"/>
  <c r="U44" i="13"/>
  <c r="W44" i="13" s="1"/>
  <c r="U53" i="13"/>
  <c r="W53" i="13" s="1"/>
  <c r="W35" i="13"/>
  <c r="V35" i="13"/>
  <c r="U40" i="13"/>
  <c r="W40" i="13" s="1"/>
  <c r="U36" i="13"/>
  <c r="W36" i="13" s="1"/>
  <c r="W28" i="13"/>
  <c r="AH28" i="13" s="1"/>
  <c r="W50" i="13"/>
  <c r="V50" i="13"/>
  <c r="U42" i="13"/>
  <c r="W42" i="13" s="1"/>
  <c r="U52" i="13"/>
  <c r="W52" i="13" s="1"/>
  <c r="U38" i="13"/>
  <c r="W38" i="13" s="1"/>
  <c r="U48" i="13"/>
  <c r="W48" i="13" s="1"/>
  <c r="V46" i="13"/>
  <c r="W46" i="13"/>
  <c r="U45" i="13"/>
  <c r="W45" i="13" s="1"/>
  <c r="U43" i="13"/>
  <c r="W43" i="13" s="1"/>
  <c r="U41" i="13"/>
  <c r="W41" i="13" s="1"/>
  <c r="U34" i="13"/>
  <c r="V34" i="13" s="1"/>
  <c r="U49" i="13"/>
  <c r="W49" i="13" s="1"/>
  <c r="X39" i="13"/>
  <c r="Y39" i="13" s="1"/>
  <c r="U51" i="13"/>
  <c r="W51" i="13" s="1"/>
  <c r="V39" i="13"/>
  <c r="U32" i="13"/>
  <c r="V32" i="13" s="1"/>
  <c r="S8" i="13"/>
  <c r="T8" i="13" s="1"/>
  <c r="AG8" i="13" s="1"/>
  <c r="U37" i="13"/>
  <c r="W37" i="13" s="1"/>
  <c r="U47" i="13"/>
  <c r="W47" i="13" s="1"/>
  <c r="S20" i="13"/>
  <c r="T20" i="13" s="1"/>
  <c r="AG20" i="13" s="1"/>
  <c r="S14" i="13"/>
  <c r="V14" i="13" s="1"/>
  <c r="S11" i="13"/>
  <c r="T11" i="13" s="1"/>
  <c r="AG11" i="13" s="1"/>
  <c r="S5" i="13"/>
  <c r="W35" i="14" l="1"/>
  <c r="X44" i="14"/>
  <c r="AH44" i="14"/>
  <c r="X13" i="14"/>
  <c r="AH13" i="14"/>
  <c r="AH50" i="14"/>
  <c r="W50" i="14"/>
  <c r="W92" i="13"/>
  <c r="AE92" i="13" s="1"/>
  <c r="AG92" i="13"/>
  <c r="V76" i="13"/>
  <c r="AG76" i="13"/>
  <c r="X41" i="14"/>
  <c r="AF41" i="14" s="1"/>
  <c r="AH41" i="14"/>
  <c r="W26" i="14"/>
  <c r="AH26" i="14"/>
  <c r="V72" i="13"/>
  <c r="AG72" i="13"/>
  <c r="W38" i="14"/>
  <c r="AH38" i="14"/>
  <c r="X7" i="14"/>
  <c r="AF7" i="14" s="1"/>
  <c r="AH7" i="14"/>
  <c r="AH39" i="13"/>
  <c r="AH41" i="13" s="1"/>
  <c r="X10" i="14"/>
  <c r="AF10" i="14" s="1"/>
  <c r="AH10" i="14"/>
  <c r="V70" i="13"/>
  <c r="V71" i="13"/>
  <c r="W76" i="13"/>
  <c r="AH76" i="13" s="1"/>
  <c r="W72" i="13"/>
  <c r="AH72" i="13" s="1"/>
  <c r="W47" i="14"/>
  <c r="X47" i="14"/>
  <c r="Z47" i="14" s="1"/>
  <c r="X50" i="14"/>
  <c r="Z50" i="14" s="1"/>
  <c r="W41" i="14"/>
  <c r="W32" i="14"/>
  <c r="AF47" i="14"/>
  <c r="W44" i="14"/>
  <c r="AF44" i="14"/>
  <c r="X38" i="14"/>
  <c r="X26" i="14"/>
  <c r="AF35" i="14"/>
  <c r="Z35" i="14"/>
  <c r="W19" i="14"/>
  <c r="AF32" i="14"/>
  <c r="Z32" i="14"/>
  <c r="W10" i="14"/>
  <c r="Z19" i="14"/>
  <c r="Z7" i="14"/>
  <c r="W16" i="14"/>
  <c r="W13" i="14"/>
  <c r="AF16" i="14"/>
  <c r="Z16" i="14"/>
  <c r="AF13" i="14"/>
  <c r="Z13" i="14"/>
  <c r="W7" i="14"/>
  <c r="T53" i="14"/>
  <c r="U53" i="14"/>
  <c r="C6" i="16" s="1"/>
  <c r="X5" i="14"/>
  <c r="W5" i="14"/>
  <c r="T5" i="13"/>
  <c r="AG5" i="13" s="1"/>
  <c r="W90" i="13"/>
  <c r="V90" i="13"/>
  <c r="Y87" i="13"/>
  <c r="V26" i="13"/>
  <c r="Y79" i="13"/>
  <c r="T14" i="13"/>
  <c r="AG14" i="13" s="1"/>
  <c r="V41" i="13"/>
  <c r="V49" i="13"/>
  <c r="V42" i="13"/>
  <c r="V52" i="13"/>
  <c r="V45" i="13"/>
  <c r="V51" i="13"/>
  <c r="V40" i="13"/>
  <c r="X37" i="13"/>
  <c r="Y37" i="13" s="1"/>
  <c r="X40" i="13"/>
  <c r="Y40" i="13" s="1"/>
  <c r="X36" i="13"/>
  <c r="Y36" i="13" s="1"/>
  <c r="V47" i="13"/>
  <c r="X52" i="13"/>
  <c r="Y52" i="13" s="1"/>
  <c r="X45" i="13"/>
  <c r="Y45" i="13" s="1"/>
  <c r="X42" i="13"/>
  <c r="Y42" i="13" s="1"/>
  <c r="X35" i="13"/>
  <c r="Y35" i="13" s="1"/>
  <c r="V36" i="13"/>
  <c r="V37" i="13"/>
  <c r="X38" i="13"/>
  <c r="Y38" i="13" s="1"/>
  <c r="X47" i="13"/>
  <c r="Y47" i="13" s="1"/>
  <c r="X41" i="13"/>
  <c r="Y41" i="13" s="1"/>
  <c r="X46" i="13"/>
  <c r="Y46" i="13" s="1"/>
  <c r="X50" i="13"/>
  <c r="Y50" i="13" s="1"/>
  <c r="V53" i="13"/>
  <c r="X53" i="13"/>
  <c r="Y53" i="13" s="1"/>
  <c r="X43" i="13"/>
  <c r="Y43" i="13" s="1"/>
  <c r="X51" i="13"/>
  <c r="Y51" i="13" s="1"/>
  <c r="X48" i="13"/>
  <c r="Y48" i="13" s="1"/>
  <c r="AE28" i="13"/>
  <c r="Y28" i="13"/>
  <c r="X44" i="13"/>
  <c r="Y44" i="13" s="1"/>
  <c r="V38" i="13"/>
  <c r="V43" i="13"/>
  <c r="X49" i="13"/>
  <c r="Y49" i="13" s="1"/>
  <c r="V48" i="13"/>
  <c r="V44" i="13"/>
  <c r="AF61" i="20"/>
  <c r="Z60" i="20"/>
  <c r="AF50" i="14" l="1"/>
  <c r="Z10" i="14"/>
  <c r="Z38" i="14"/>
  <c r="AI38" i="14"/>
  <c r="Z26" i="14"/>
  <c r="AI26" i="14"/>
  <c r="Z41" i="14"/>
  <c r="Z44" i="14"/>
  <c r="AI44" i="14"/>
  <c r="AF38" i="14"/>
  <c r="AF26" i="14"/>
  <c r="W53" i="14"/>
  <c r="E6" i="16" s="1"/>
  <c r="Z5" i="14"/>
  <c r="V5" i="13"/>
  <c r="AG13" i="23" l="1"/>
  <c r="AG15" i="23"/>
  <c r="AG17" i="23"/>
  <c r="AG19" i="23"/>
  <c r="AG21" i="23"/>
  <c r="AF21" i="15" l="1"/>
  <c r="X27" i="19"/>
  <c r="AB35" i="15"/>
  <c r="AA7" i="15"/>
  <c r="AA5" i="15"/>
  <c r="T16" i="15"/>
  <c r="S7" i="15"/>
  <c r="R7" i="15"/>
  <c r="AL7" i="15" s="1"/>
  <c r="S5" i="15"/>
  <c r="R5" i="15"/>
  <c r="AL5" i="15" s="1"/>
  <c r="R18" i="15"/>
  <c r="AL18" i="15" s="1"/>
  <c r="R20" i="15"/>
  <c r="AL20" i="15" s="1"/>
  <c r="S25" i="15"/>
  <c r="R25" i="15"/>
  <c r="AL25" i="15" s="1"/>
  <c r="S26" i="15"/>
  <c r="R26" i="15"/>
  <c r="AL26" i="15" s="1"/>
  <c r="S27" i="15"/>
  <c r="R27" i="15"/>
  <c r="AL27" i="15" s="1"/>
  <c r="S28" i="15"/>
  <c r="R28" i="15"/>
  <c r="AL28" i="15" s="1"/>
  <c r="S29" i="15"/>
  <c r="R29" i="15"/>
  <c r="S30" i="15"/>
  <c r="R30" i="15"/>
  <c r="S45" i="15"/>
  <c r="R45" i="15"/>
  <c r="AL45" i="15" s="1"/>
  <c r="R43" i="15"/>
  <c r="AL43" i="15" s="1"/>
  <c r="R47" i="15"/>
  <c r="S65" i="15"/>
  <c r="R65" i="15"/>
  <c r="AL65" i="15" s="1"/>
  <c r="S66" i="15"/>
  <c r="R66" i="15"/>
  <c r="AL66" i="15" s="1"/>
  <c r="S67" i="15"/>
  <c r="R67" i="15"/>
  <c r="AL67" i="15" s="1"/>
  <c r="R77" i="15"/>
  <c r="AL77" i="15" s="1"/>
  <c r="P13" i="15" l="1"/>
  <c r="AB16" i="19"/>
  <c r="AA16" i="19"/>
  <c r="AF17" i="19"/>
  <c r="AF16" i="19"/>
  <c r="Z25" i="20"/>
  <c r="Z24" i="20"/>
  <c r="X48" i="15"/>
  <c r="AA48" i="15" s="1"/>
  <c r="AB48" i="15" s="1"/>
  <c r="AB5" i="15"/>
  <c r="Z8" i="20"/>
  <c r="R8" i="20"/>
  <c r="W56" i="15"/>
  <c r="X56" i="15" s="1"/>
  <c r="AA56" i="15" s="1"/>
  <c r="AB56" i="15" s="1"/>
  <c r="X62" i="15"/>
  <c r="AB62" i="15" s="1"/>
  <c r="X34" i="19"/>
  <c r="T16" i="19"/>
  <c r="R34" i="19"/>
  <c r="U34" i="19" s="1"/>
  <c r="V34" i="19" s="1"/>
  <c r="Y34" i="19" s="1"/>
  <c r="S16" i="19"/>
  <c r="AF5" i="20"/>
  <c r="AF47" i="20"/>
  <c r="AB79" i="13"/>
  <c r="AB91" i="13"/>
  <c r="U16" i="19" l="1"/>
  <c r="V16" i="19" s="1"/>
  <c r="Y16" i="19" s="1"/>
  <c r="AB55" i="13"/>
  <c r="AB54" i="13"/>
  <c r="Z28" i="23"/>
  <c r="Z27" i="23"/>
  <c r="Z26" i="23"/>
  <c r="R26" i="23"/>
  <c r="U26" i="23" l="1"/>
  <c r="V26" i="23" s="1"/>
  <c r="S51" i="15"/>
  <c r="R51" i="15"/>
  <c r="AL51" i="15" s="1"/>
  <c r="Z5" i="20"/>
  <c r="O47" i="20"/>
  <c r="P47" i="20"/>
  <c r="Y26" i="23" l="1"/>
  <c r="X26" i="23"/>
  <c r="AA26" i="23"/>
  <c r="AG26" i="23"/>
  <c r="X91" i="13"/>
  <c r="X90" i="13"/>
  <c r="AA26" i="15"/>
  <c r="AA25" i="15"/>
  <c r="AF14" i="20" l="1"/>
  <c r="AF15" i="20"/>
  <c r="S48" i="15"/>
  <c r="R48" i="15"/>
  <c r="AL48" i="15" s="1"/>
  <c r="U48" i="15" l="1"/>
  <c r="V48" i="15" s="1"/>
  <c r="U32" i="20"/>
  <c r="V32" i="20" s="1"/>
  <c r="X26" i="15"/>
  <c r="AB26" i="15" s="1"/>
  <c r="X25" i="15"/>
  <c r="AB25" i="15" s="1"/>
  <c r="AF28" i="15"/>
  <c r="AB12" i="15"/>
  <c r="Z47" i="20"/>
  <c r="Z48" i="20"/>
  <c r="Z49" i="20"/>
  <c r="Z50" i="20"/>
  <c r="Z51" i="20"/>
  <c r="Z52" i="20"/>
  <c r="Z57" i="20"/>
  <c r="Z58" i="20"/>
  <c r="Z59" i="20"/>
  <c r="Z61" i="20"/>
  <c r="Z62" i="20"/>
  <c r="Z54" i="20"/>
  <c r="Z55" i="20"/>
  <c r="Z53" i="20"/>
  <c r="S53" i="20"/>
  <c r="R53" i="20" s="1"/>
  <c r="P55" i="15"/>
  <c r="O55" i="15"/>
  <c r="P61" i="15"/>
  <c r="O61" i="15"/>
  <c r="P53" i="15"/>
  <c r="O53" i="15"/>
  <c r="P58" i="15"/>
  <c r="O58" i="15"/>
  <c r="R50" i="20"/>
  <c r="O44" i="20"/>
  <c r="R44" i="20" s="1"/>
  <c r="P44" i="20"/>
  <c r="S44" i="20" s="1"/>
  <c r="AK48" i="15" l="1"/>
  <c r="Y48" i="15"/>
  <c r="Z48" i="15"/>
  <c r="AC48" i="15" s="1"/>
  <c r="Y32" i="20"/>
  <c r="X32" i="20"/>
  <c r="U28" i="15"/>
  <c r="U44" i="20"/>
  <c r="V44" i="20" s="1"/>
  <c r="W41" i="23"/>
  <c r="D10" i="16" s="1"/>
  <c r="Q41" i="23"/>
  <c r="N41" i="23"/>
  <c r="M41" i="23"/>
  <c r="L41" i="23"/>
  <c r="U38" i="23"/>
  <c r="V38" i="23" s="1"/>
  <c r="Z34" i="23"/>
  <c r="Z33" i="23"/>
  <c r="Z32" i="23"/>
  <c r="Z31" i="23"/>
  <c r="Z30" i="23"/>
  <c r="Z29" i="23"/>
  <c r="O29" i="23"/>
  <c r="Z25" i="23"/>
  <c r="Z24" i="23"/>
  <c r="Z23" i="23"/>
  <c r="T23" i="23"/>
  <c r="P41" i="23"/>
  <c r="R23" i="23"/>
  <c r="V11" i="23"/>
  <c r="X11" i="23" s="1"/>
  <c r="U8" i="23"/>
  <c r="V8" i="23" s="1"/>
  <c r="W63" i="20"/>
  <c r="D9" i="16" s="1"/>
  <c r="Q63" i="20"/>
  <c r="N63" i="20"/>
  <c r="M63" i="20"/>
  <c r="L63" i="20"/>
  <c r="T59" i="20"/>
  <c r="S59" i="20"/>
  <c r="R59" i="20"/>
  <c r="R56" i="20"/>
  <c r="U53" i="20"/>
  <c r="V53" i="20" s="1"/>
  <c r="U50" i="20"/>
  <c r="V50" i="20" s="1"/>
  <c r="Y50" i="20" s="1"/>
  <c r="S47" i="20"/>
  <c r="R47" i="20"/>
  <c r="U41" i="20"/>
  <c r="V41" i="20" s="1"/>
  <c r="U38" i="20"/>
  <c r="U35" i="20"/>
  <c r="V35" i="20" s="1"/>
  <c r="Y35" i="20" s="1"/>
  <c r="U29" i="20"/>
  <c r="V29" i="20" s="1"/>
  <c r="U26" i="20"/>
  <c r="V26" i="20" s="1"/>
  <c r="Y26" i="20" s="1"/>
  <c r="R24" i="20"/>
  <c r="Z23" i="20"/>
  <c r="Z22" i="20"/>
  <c r="Z21" i="20"/>
  <c r="R21" i="20"/>
  <c r="AJ21" i="20" s="1"/>
  <c r="Z20" i="20"/>
  <c r="Z19" i="20"/>
  <c r="Z18" i="20"/>
  <c r="O18" i="20"/>
  <c r="R18" i="20" s="1"/>
  <c r="AJ18" i="20" s="1"/>
  <c r="Z17" i="20"/>
  <c r="Z16" i="20"/>
  <c r="T16" i="20"/>
  <c r="S16" i="20"/>
  <c r="R16" i="20"/>
  <c r="Z15" i="20"/>
  <c r="Z14" i="20"/>
  <c r="T14" i="20"/>
  <c r="P14" i="20"/>
  <c r="P63" i="20" s="1"/>
  <c r="O14" i="20"/>
  <c r="R14" i="20" s="1"/>
  <c r="U11" i="20"/>
  <c r="V11" i="20" s="1"/>
  <c r="U8" i="20"/>
  <c r="V8" i="20" s="1"/>
  <c r="O5" i="20"/>
  <c r="L57" i="19"/>
  <c r="T53" i="19"/>
  <c r="S53" i="19"/>
  <c r="Q53" i="19"/>
  <c r="P53" i="19"/>
  <c r="O53" i="19"/>
  <c r="N53" i="19"/>
  <c r="M53" i="19"/>
  <c r="L53" i="19"/>
  <c r="X49" i="19"/>
  <c r="AA49" i="19" s="1"/>
  <c r="AB49" i="19" s="1"/>
  <c r="X48" i="19"/>
  <c r="AA48" i="19" s="1"/>
  <c r="AB48" i="19" s="1"/>
  <c r="S48" i="19"/>
  <c r="R48" i="19"/>
  <c r="AL48" i="19" s="1"/>
  <c r="X47" i="19"/>
  <c r="Y47" i="19" s="1"/>
  <c r="X46" i="19"/>
  <c r="Y46" i="19" s="1"/>
  <c r="X45" i="19"/>
  <c r="Y45" i="19" s="1"/>
  <c r="X44" i="19"/>
  <c r="Y44" i="19" s="1"/>
  <c r="X43" i="19"/>
  <c r="Y43" i="19" s="1"/>
  <c r="X42" i="19"/>
  <c r="AF41" i="19"/>
  <c r="X41" i="19"/>
  <c r="AF40" i="19"/>
  <c r="X40" i="19"/>
  <c r="X39" i="19"/>
  <c r="Y39" i="19" s="1"/>
  <c r="R39" i="19"/>
  <c r="V39" i="19" s="1"/>
  <c r="X38" i="19"/>
  <c r="X37" i="19"/>
  <c r="AF32" i="19"/>
  <c r="AF31" i="19"/>
  <c r="AF30" i="19"/>
  <c r="AF29" i="19"/>
  <c r="AF28" i="19"/>
  <c r="Y27" i="19"/>
  <c r="V27" i="19"/>
  <c r="AF27" i="19" s="1"/>
  <c r="AF26" i="19"/>
  <c r="AA26" i="19"/>
  <c r="AB26" i="19" s="1"/>
  <c r="AF25" i="19"/>
  <c r="AB25" i="19"/>
  <c r="X25" i="19"/>
  <c r="S25" i="19"/>
  <c r="R25" i="19"/>
  <c r="AL25" i="19" s="1"/>
  <c r="T23" i="19"/>
  <c r="U23" i="19" s="1"/>
  <c r="V23" i="19" s="1"/>
  <c r="AF21" i="19"/>
  <c r="Z21" i="19"/>
  <c r="W21" i="19"/>
  <c r="X21" i="19" s="1"/>
  <c r="Y21" i="19" s="1"/>
  <c r="U21" i="19"/>
  <c r="T21" i="19" s="1"/>
  <c r="AF19" i="19"/>
  <c r="Z16" i="19"/>
  <c r="AC16" i="19" s="1"/>
  <c r="R13" i="19"/>
  <c r="U13" i="19" s="1"/>
  <c r="V13" i="19" s="1"/>
  <c r="Z10" i="19"/>
  <c r="Y10" i="19"/>
  <c r="AF8" i="19"/>
  <c r="AF7" i="19"/>
  <c r="S7" i="19"/>
  <c r="R7" i="19"/>
  <c r="AL7" i="19" s="1"/>
  <c r="R6" i="19"/>
  <c r="R5" i="19"/>
  <c r="AI96" i="15"/>
  <c r="AH96" i="15"/>
  <c r="AG96" i="15"/>
  <c r="AF96" i="15"/>
  <c r="AC96" i="15"/>
  <c r="AB96" i="15"/>
  <c r="AA96" i="15"/>
  <c r="Z96" i="15"/>
  <c r="Y96" i="15"/>
  <c r="X96" i="15"/>
  <c r="W96" i="15"/>
  <c r="V96" i="15"/>
  <c r="U96" i="15"/>
  <c r="T96" i="15"/>
  <c r="S96" i="15"/>
  <c r="R96" i="15"/>
  <c r="Q96" i="15"/>
  <c r="P96" i="15"/>
  <c r="O96" i="15"/>
  <c r="N96" i="15"/>
  <c r="M96" i="15"/>
  <c r="L96" i="15"/>
  <c r="Q93" i="15"/>
  <c r="N93" i="15"/>
  <c r="U92" i="15"/>
  <c r="V92" i="15" s="1"/>
  <c r="L92" i="15"/>
  <c r="AF91" i="15"/>
  <c r="P91" i="15"/>
  <c r="S91" i="15" s="1"/>
  <c r="O91" i="15"/>
  <c r="R91" i="15" s="1"/>
  <c r="AL91" i="15" s="1"/>
  <c r="AF90" i="15"/>
  <c r="P90" i="15"/>
  <c r="S90" i="15" s="1"/>
  <c r="O90" i="15"/>
  <c r="R90" i="15" s="1"/>
  <c r="AL90" i="15" s="1"/>
  <c r="AF89" i="15"/>
  <c r="P89" i="15"/>
  <c r="S89" i="15" s="1"/>
  <c r="O89" i="15"/>
  <c r="R89" i="15" s="1"/>
  <c r="AL89" i="15" s="1"/>
  <c r="L89" i="15"/>
  <c r="R88" i="15"/>
  <c r="AF87" i="15"/>
  <c r="AF86" i="15"/>
  <c r="X86" i="15"/>
  <c r="AB86" i="15" s="1"/>
  <c r="P86" i="15"/>
  <c r="S86" i="15" s="1"/>
  <c r="O86" i="15"/>
  <c r="R86" i="15" s="1"/>
  <c r="AL86" i="15" s="1"/>
  <c r="X84" i="15"/>
  <c r="AB84" i="15" s="1"/>
  <c r="R84" i="15"/>
  <c r="AB83" i="15"/>
  <c r="X82" i="15"/>
  <c r="AB82" i="15" s="1"/>
  <c r="AF82" i="15" s="1"/>
  <c r="R82" i="15"/>
  <c r="U82" i="15" s="1"/>
  <c r="V82" i="15" s="1"/>
  <c r="AB81" i="15"/>
  <c r="X80" i="15"/>
  <c r="AB80" i="15" s="1"/>
  <c r="AF80" i="15" s="1"/>
  <c r="R80" i="15"/>
  <c r="U80" i="15" s="1"/>
  <c r="V80" i="15" s="1"/>
  <c r="X79" i="15"/>
  <c r="AB79" i="15" s="1"/>
  <c r="X78" i="15"/>
  <c r="AB78" i="15" s="1"/>
  <c r="AF78" i="15" s="1"/>
  <c r="R78" i="15"/>
  <c r="U78" i="15" s="1"/>
  <c r="V78" i="15" s="1"/>
  <c r="M93" i="15"/>
  <c r="U77" i="15"/>
  <c r="V77" i="15" s="1"/>
  <c r="AK77" i="15" s="1"/>
  <c r="AF76" i="15"/>
  <c r="P76" i="15" s="1"/>
  <c r="S76" i="15" s="1"/>
  <c r="AF75" i="15"/>
  <c r="AB75" i="15"/>
  <c r="AF74" i="15"/>
  <c r="P74" i="15"/>
  <c r="S74" i="15" s="1"/>
  <c r="O74" i="15"/>
  <c r="R74" i="15" s="1"/>
  <c r="AL74" i="15" s="1"/>
  <c r="AF72" i="15"/>
  <c r="AF70" i="15"/>
  <c r="AF69" i="15"/>
  <c r="P69" i="15"/>
  <c r="S69" i="15" s="1"/>
  <c r="O69" i="15"/>
  <c r="AF68" i="15"/>
  <c r="AF67" i="15"/>
  <c r="AF66" i="15"/>
  <c r="AF65" i="15"/>
  <c r="X65" i="15"/>
  <c r="AF64" i="15"/>
  <c r="Z64" i="15"/>
  <c r="S64" i="15"/>
  <c r="R64" i="15"/>
  <c r="AL64" i="15" s="1"/>
  <c r="AF63" i="15"/>
  <c r="Z63" i="15"/>
  <c r="S63" i="15"/>
  <c r="R63" i="15"/>
  <c r="AL63" i="15" s="1"/>
  <c r="AF61" i="15"/>
  <c r="X61" i="15"/>
  <c r="AB61" i="15" s="1"/>
  <c r="S61" i="15"/>
  <c r="R61" i="15"/>
  <c r="AL61" i="15" s="1"/>
  <c r="AF60" i="15"/>
  <c r="S60" i="15"/>
  <c r="U60" i="15" s="1"/>
  <c r="AF59" i="15"/>
  <c r="S58" i="15"/>
  <c r="R58" i="15"/>
  <c r="AL58" i="15" s="1"/>
  <c r="AF55" i="15"/>
  <c r="X55" i="15"/>
  <c r="S55" i="15"/>
  <c r="R55" i="15"/>
  <c r="AL55" i="15" s="1"/>
  <c r="AF53" i="15"/>
  <c r="X53" i="15"/>
  <c r="S53" i="15"/>
  <c r="R53" i="15"/>
  <c r="AL53" i="15" s="1"/>
  <c r="AF51" i="15"/>
  <c r="U51" i="15"/>
  <c r="AF50" i="15"/>
  <c r="Z47" i="15"/>
  <c r="AF46" i="15"/>
  <c r="X46" i="15"/>
  <c r="AB46" i="15" s="1"/>
  <c r="AF45" i="15"/>
  <c r="U45" i="15"/>
  <c r="V45" i="15" s="1"/>
  <c r="AK45" i="15" s="1"/>
  <c r="AF44" i="15"/>
  <c r="AB44" i="15"/>
  <c r="AF43" i="15"/>
  <c r="P43" i="15"/>
  <c r="S43" i="15" s="1"/>
  <c r="U43" i="15" s="1"/>
  <c r="V43" i="15" s="1"/>
  <c r="AB41" i="15"/>
  <c r="AF40" i="15"/>
  <c r="AB40" i="15"/>
  <c r="X40" i="15"/>
  <c r="T40" i="15"/>
  <c r="P40" i="15"/>
  <c r="S40" i="15" s="1"/>
  <c r="O40" i="15"/>
  <c r="R40" i="15" s="1"/>
  <c r="AF39" i="15"/>
  <c r="X39" i="15"/>
  <c r="AF38" i="15"/>
  <c r="X38" i="15"/>
  <c r="AF36" i="15"/>
  <c r="X36" i="15"/>
  <c r="AF35" i="15"/>
  <c r="X35" i="15"/>
  <c r="U35" i="15"/>
  <c r="V35" i="15" s="1"/>
  <c r="AK35" i="15" s="1"/>
  <c r="R31" i="15"/>
  <c r="L31" i="15"/>
  <c r="AF27" i="15"/>
  <c r="AF25" i="15"/>
  <c r="X21" i="15"/>
  <c r="AA21" i="15" s="1"/>
  <c r="AB21" i="15" s="1"/>
  <c r="U21" i="15"/>
  <c r="V21" i="15" s="1"/>
  <c r="AK21" i="15" s="1"/>
  <c r="U20" i="15"/>
  <c r="V20" i="15" s="1"/>
  <c r="U18" i="15"/>
  <c r="V18" i="15" s="1"/>
  <c r="AK18" i="15" s="1"/>
  <c r="L18" i="15"/>
  <c r="AF17" i="15"/>
  <c r="AF16" i="15"/>
  <c r="P16" i="15"/>
  <c r="S16" i="15" s="1"/>
  <c r="O16" i="15"/>
  <c r="AF15" i="15"/>
  <c r="T14" i="15"/>
  <c r="P14" i="15"/>
  <c r="S14" i="15" s="1"/>
  <c r="O14" i="15"/>
  <c r="AF11" i="15"/>
  <c r="AB10" i="15"/>
  <c r="T10" i="15"/>
  <c r="S10" i="15"/>
  <c r="R10" i="15"/>
  <c r="AF9" i="15"/>
  <c r="S9" i="15"/>
  <c r="R9" i="15"/>
  <c r="AF8" i="15"/>
  <c r="AF7" i="15"/>
  <c r="X7" i="15"/>
  <c r="AF6" i="15"/>
  <c r="AF5" i="15"/>
  <c r="M53" i="14"/>
  <c r="AC5" i="14"/>
  <c r="AF5" i="14" s="1"/>
  <c r="K94" i="13"/>
  <c r="J94" i="13"/>
  <c r="U93" i="13"/>
  <c r="X92" i="13"/>
  <c r="AB90" i="13"/>
  <c r="AE90" i="13" s="1"/>
  <c r="Y90" i="13"/>
  <c r="AB87" i="13"/>
  <c r="AE87" i="13" s="1"/>
  <c r="AB86" i="13"/>
  <c r="Y86" i="13"/>
  <c r="AB85" i="13"/>
  <c r="Y85" i="13"/>
  <c r="AB80" i="13"/>
  <c r="AE79" i="13" s="1"/>
  <c r="AB76" i="13"/>
  <c r="AB73" i="13"/>
  <c r="AB72" i="13"/>
  <c r="X72" i="13"/>
  <c r="W68" i="13"/>
  <c r="Y68" i="13" s="1"/>
  <c r="W67" i="13"/>
  <c r="Y67" i="13" s="1"/>
  <c r="W64" i="13"/>
  <c r="Y64" i="13" s="1"/>
  <c r="W63" i="13"/>
  <c r="Y63" i="13" s="1"/>
  <c r="AB40" i="13"/>
  <c r="AB39" i="13"/>
  <c r="W34" i="13"/>
  <c r="AE34" i="13" s="1"/>
  <c r="U31" i="13"/>
  <c r="U28" i="13"/>
  <c r="W26" i="13"/>
  <c r="AH26" i="13" s="1"/>
  <c r="S23" i="13"/>
  <c r="AB18" i="13"/>
  <c r="AB17" i="13"/>
  <c r="AB16" i="13"/>
  <c r="AB15" i="13"/>
  <c r="AB14" i="13"/>
  <c r="AB12" i="13"/>
  <c r="AB11" i="13" s="1"/>
  <c r="AB9" i="13"/>
  <c r="AB6" i="13"/>
  <c r="W5" i="13"/>
  <c r="AH5" i="13" s="1"/>
  <c r="Z27" i="19" l="1"/>
  <c r="AA27" i="19" s="1"/>
  <c r="AB27" i="19" s="1"/>
  <c r="U31" i="15"/>
  <c r="V31" i="15" s="1"/>
  <c r="AK31" i="15" s="1"/>
  <c r="AL31" i="15"/>
  <c r="Z39" i="19"/>
  <c r="U88" i="15"/>
  <c r="V88" i="15" s="1"/>
  <c r="AK88" i="15" s="1"/>
  <c r="AL88" i="15"/>
  <c r="Z92" i="15"/>
  <c r="AK92" i="15"/>
  <c r="Z43" i="15"/>
  <c r="AC43" i="15" s="1"/>
  <c r="AK43" i="15"/>
  <c r="U5" i="19"/>
  <c r="W5" i="19" s="1"/>
  <c r="AK5" i="19"/>
  <c r="W20" i="15"/>
  <c r="X20" i="15" s="1"/>
  <c r="AK20" i="15"/>
  <c r="U6" i="19"/>
  <c r="W6" i="19" s="1"/>
  <c r="AK6" i="19"/>
  <c r="U84" i="15"/>
  <c r="V84" i="15" s="1"/>
  <c r="AL84" i="15"/>
  <c r="AE39" i="13"/>
  <c r="X93" i="13"/>
  <c r="V92" i="13"/>
  <c r="V28" i="13"/>
  <c r="U94" i="13"/>
  <c r="D5" i="16" s="1"/>
  <c r="X34" i="13"/>
  <c r="Y34" i="13" s="1"/>
  <c r="AB31" i="13"/>
  <c r="AB94" i="13" s="1"/>
  <c r="I5" i="16" s="1"/>
  <c r="V31" i="13"/>
  <c r="AE26" i="13"/>
  <c r="X26" i="13"/>
  <c r="Y26" i="13" s="1"/>
  <c r="W17" i="13"/>
  <c r="T17" i="13"/>
  <c r="AG17" i="13" s="1"/>
  <c r="Y5" i="13"/>
  <c r="AE5" i="13"/>
  <c r="W11" i="13"/>
  <c r="AH11" i="13" s="1"/>
  <c r="AA55" i="15"/>
  <c r="AB55" i="15" s="1"/>
  <c r="Y21" i="15"/>
  <c r="U56" i="20"/>
  <c r="V56" i="20" s="1"/>
  <c r="X56" i="20" s="1"/>
  <c r="AG56" i="20" s="1"/>
  <c r="W18" i="15"/>
  <c r="Z18" i="15"/>
  <c r="AI18" i="15" s="1"/>
  <c r="R16" i="15"/>
  <c r="AL16" i="15" s="1"/>
  <c r="R69" i="15"/>
  <c r="AL69" i="15" s="1"/>
  <c r="U7" i="19"/>
  <c r="V7" i="19" s="1"/>
  <c r="AK7" i="19" s="1"/>
  <c r="Y53" i="14"/>
  <c r="G6" i="16" s="1"/>
  <c r="AE63" i="13"/>
  <c r="W32" i="15"/>
  <c r="X32" i="15" s="1"/>
  <c r="Y31" i="15" s="1"/>
  <c r="U24" i="20"/>
  <c r="V24" i="20" s="1"/>
  <c r="X24" i="20" s="1"/>
  <c r="V38" i="20"/>
  <c r="X38" i="20" s="1"/>
  <c r="Y38" i="20"/>
  <c r="U25" i="19"/>
  <c r="V25" i="19" s="1"/>
  <c r="T41" i="23"/>
  <c r="W8" i="13"/>
  <c r="AH8" i="13" s="1"/>
  <c r="S85" i="13"/>
  <c r="T85" i="13" s="1"/>
  <c r="V85" i="13" s="1"/>
  <c r="AE67" i="13"/>
  <c r="S14" i="20"/>
  <c r="U14" i="20" s="1"/>
  <c r="V14" i="20" s="1"/>
  <c r="AG32" i="20"/>
  <c r="AA32" i="20"/>
  <c r="U5" i="15"/>
  <c r="U29" i="15"/>
  <c r="U61" i="15"/>
  <c r="V61" i="15" s="1"/>
  <c r="AK61" i="15" s="1"/>
  <c r="W10" i="15"/>
  <c r="X10" i="15" s="1"/>
  <c r="Y35" i="15"/>
  <c r="U26" i="15"/>
  <c r="U47" i="15"/>
  <c r="V47" i="15" s="1"/>
  <c r="Y47" i="15" s="1"/>
  <c r="U9" i="15"/>
  <c r="Y82" i="15"/>
  <c r="Z82" i="15"/>
  <c r="AC82" i="15" s="1"/>
  <c r="X8" i="23"/>
  <c r="Y8" i="23"/>
  <c r="W20" i="13"/>
  <c r="V20" i="13"/>
  <c r="V60" i="15"/>
  <c r="AF92" i="15"/>
  <c r="AI92" i="15" s="1"/>
  <c r="AB92" i="15"/>
  <c r="X29" i="20"/>
  <c r="Y29" i="20"/>
  <c r="X8" i="20"/>
  <c r="Y8" i="20"/>
  <c r="W77" i="15"/>
  <c r="X77" i="15" s="1"/>
  <c r="Y77" i="15" s="1"/>
  <c r="Z77" i="15"/>
  <c r="AB77" i="15" s="1"/>
  <c r="AC77" i="15" s="1"/>
  <c r="W14" i="13"/>
  <c r="Y76" i="13"/>
  <c r="L53" i="14"/>
  <c r="X41" i="20"/>
  <c r="V8" i="13"/>
  <c r="U91" i="15"/>
  <c r="V91" i="15" s="1"/>
  <c r="Y41" i="20"/>
  <c r="AE54" i="13"/>
  <c r="AF53" i="19"/>
  <c r="I8" i="16" s="1"/>
  <c r="L93" i="15"/>
  <c r="AA21" i="19"/>
  <c r="AB21" i="19" s="1"/>
  <c r="AC21" i="19" s="1"/>
  <c r="U48" i="19"/>
  <c r="V48" i="19" s="1"/>
  <c r="AK48" i="19" s="1"/>
  <c r="T93" i="15"/>
  <c r="Y45" i="15"/>
  <c r="V5" i="15"/>
  <c r="Z45" i="15"/>
  <c r="T63" i="20"/>
  <c r="U90" i="15"/>
  <c r="V90" i="15" s="1"/>
  <c r="AK90" i="15" s="1"/>
  <c r="U21" i="20"/>
  <c r="V21" i="20" s="1"/>
  <c r="AI21" i="20" s="1"/>
  <c r="Y72" i="13"/>
  <c r="U10" i="15"/>
  <c r="U27" i="15"/>
  <c r="AI21" i="19"/>
  <c r="U16" i="20"/>
  <c r="V16" i="20" s="1"/>
  <c r="Y16" i="20" s="1"/>
  <c r="AE68" i="13"/>
  <c r="W9" i="15"/>
  <c r="X9" i="15" s="1"/>
  <c r="U25" i="15"/>
  <c r="U59" i="20"/>
  <c r="V59" i="20" s="1"/>
  <c r="Z41" i="23"/>
  <c r="G10" i="16" s="1"/>
  <c r="U35" i="23"/>
  <c r="V35" i="23" s="1"/>
  <c r="O41" i="23"/>
  <c r="AF41" i="23"/>
  <c r="I10" i="16" s="1"/>
  <c r="S23" i="23"/>
  <c r="S41" i="23" s="1"/>
  <c r="U53" i="15"/>
  <c r="U47" i="20"/>
  <c r="V47" i="20" s="1"/>
  <c r="X47" i="20" s="1"/>
  <c r="Z7" i="19"/>
  <c r="W7" i="19"/>
  <c r="AE64" i="13"/>
  <c r="U18" i="20"/>
  <c r="V18" i="20" s="1"/>
  <c r="S93" i="15"/>
  <c r="AG35" i="20"/>
  <c r="AA35" i="20"/>
  <c r="Z78" i="15"/>
  <c r="Y78" i="15"/>
  <c r="Z13" i="19"/>
  <c r="W13" i="19"/>
  <c r="Z23" i="19"/>
  <c r="W23" i="19"/>
  <c r="X23" i="19" s="1"/>
  <c r="Y23" i="19" s="1"/>
  <c r="Y11" i="20"/>
  <c r="X11" i="20"/>
  <c r="AG47" i="15"/>
  <c r="AK47" i="15" s="1"/>
  <c r="Z80" i="15"/>
  <c r="Y80" i="15"/>
  <c r="Z31" i="15"/>
  <c r="W88" i="15"/>
  <c r="X88" i="15" s="1"/>
  <c r="Y88" i="15" s="1"/>
  <c r="U66" i="15"/>
  <c r="V66" i="15" s="1"/>
  <c r="AK66" i="15" s="1"/>
  <c r="Y84" i="15"/>
  <c r="X26" i="20"/>
  <c r="Y92" i="13"/>
  <c r="Z21" i="15"/>
  <c r="U55" i="15"/>
  <c r="Z88" i="15"/>
  <c r="R53" i="19"/>
  <c r="AC53" i="14"/>
  <c r="I6" i="16" s="1"/>
  <c r="Y44" i="20"/>
  <c r="X44" i="20"/>
  <c r="Z35" i="15"/>
  <c r="V51" i="15"/>
  <c r="U32" i="23"/>
  <c r="V32" i="23" s="1"/>
  <c r="Y32" i="23" s="1"/>
  <c r="AB15" i="15"/>
  <c r="U86" i="15"/>
  <c r="V86" i="15" s="1"/>
  <c r="AK86" i="15" s="1"/>
  <c r="Y43" i="15"/>
  <c r="U67" i="15"/>
  <c r="V67" i="15" s="1"/>
  <c r="AK67" i="15" s="1"/>
  <c r="Y11" i="23"/>
  <c r="AG11" i="23" s="1"/>
  <c r="W31" i="13"/>
  <c r="U89" i="15"/>
  <c r="V89" i="15" s="1"/>
  <c r="AK89" i="15" s="1"/>
  <c r="P93" i="15"/>
  <c r="U30" i="15"/>
  <c r="U40" i="15"/>
  <c r="V40" i="15" s="1"/>
  <c r="AK40" i="15" s="1"/>
  <c r="R5" i="20"/>
  <c r="X35" i="20"/>
  <c r="K53" i="14"/>
  <c r="U58" i="15"/>
  <c r="AA6" i="19"/>
  <c r="AB6" i="19" s="1"/>
  <c r="AL6" i="19" s="1"/>
  <c r="X6" i="19"/>
  <c r="AI27" i="19"/>
  <c r="AC27" i="19"/>
  <c r="U7" i="15"/>
  <c r="V7" i="15" s="1"/>
  <c r="AK7" i="15" s="1"/>
  <c r="R14" i="15"/>
  <c r="U65" i="15"/>
  <c r="V65" i="15" s="1"/>
  <c r="AK65" i="15" s="1"/>
  <c r="Y38" i="23"/>
  <c r="X38" i="23"/>
  <c r="Y20" i="15"/>
  <c r="AG50" i="20"/>
  <c r="AA50" i="20"/>
  <c r="V11" i="13"/>
  <c r="Z20" i="15"/>
  <c r="Y53" i="20"/>
  <c r="X53" i="20"/>
  <c r="AH47" i="15"/>
  <c r="AL47" i="15" s="1"/>
  <c r="AC47" i="15"/>
  <c r="X50" i="20"/>
  <c r="U29" i="23"/>
  <c r="V29" i="23" s="1"/>
  <c r="O76" i="15"/>
  <c r="R76" i="15" s="1"/>
  <c r="AL76" i="15" s="1"/>
  <c r="W92" i="15"/>
  <c r="X92" i="15" s="1"/>
  <c r="Y92" i="15" s="1"/>
  <c r="O24" i="20"/>
  <c r="O63" i="20" s="1"/>
  <c r="Z51" i="15" l="1"/>
  <c r="Y51" i="15"/>
  <c r="AC92" i="15"/>
  <c r="AK51" i="15"/>
  <c r="AH20" i="13"/>
  <c r="AE20" i="13"/>
  <c r="Z25" i="19"/>
  <c r="AK25" i="19"/>
  <c r="X18" i="20"/>
  <c r="AI18" i="20"/>
  <c r="Y5" i="15"/>
  <c r="AK5" i="15"/>
  <c r="AE14" i="13"/>
  <c r="AH14" i="13"/>
  <c r="Z91" i="15"/>
  <c r="AK91" i="15"/>
  <c r="V5" i="19"/>
  <c r="AE17" i="13"/>
  <c r="AH17" i="13"/>
  <c r="Z84" i="15"/>
  <c r="AK84" i="15"/>
  <c r="AA56" i="20"/>
  <c r="Y24" i="20"/>
  <c r="S94" i="13"/>
  <c r="V17" i="13"/>
  <c r="V94" i="13" s="1"/>
  <c r="E5" i="16" s="1"/>
  <c r="T94" i="13"/>
  <c r="C5" i="16" s="1"/>
  <c r="Y20" i="13"/>
  <c r="Y17" i="13"/>
  <c r="AE8" i="13"/>
  <c r="Y8" i="13"/>
  <c r="Y14" i="13"/>
  <c r="Y11" i="13"/>
  <c r="AE11" i="13"/>
  <c r="AE72" i="13"/>
  <c r="AE76" i="13"/>
  <c r="AI21" i="15"/>
  <c r="AC21" i="15"/>
  <c r="U69" i="15"/>
  <c r="V69" i="15" s="1"/>
  <c r="AK69" i="15" s="1"/>
  <c r="Z38" i="20"/>
  <c r="Y21" i="20"/>
  <c r="AG21" i="20" s="1"/>
  <c r="X21" i="20"/>
  <c r="X59" i="20"/>
  <c r="AA18" i="15"/>
  <c r="X18" i="15"/>
  <c r="AG8" i="23"/>
  <c r="Y35" i="23"/>
  <c r="AA35" i="23" s="1"/>
  <c r="AI47" i="15"/>
  <c r="AI25" i="19"/>
  <c r="AC25" i="19"/>
  <c r="U53" i="19"/>
  <c r="Y25" i="19"/>
  <c r="Z53" i="14"/>
  <c r="H6" i="16" s="1"/>
  <c r="X16" i="20"/>
  <c r="AF16" i="20"/>
  <c r="AF63" i="20" s="1"/>
  <c r="I9" i="16" s="1"/>
  <c r="Z41" i="20"/>
  <c r="AA21" i="20"/>
  <c r="S63" i="20"/>
  <c r="Z5" i="15"/>
  <c r="AC5" i="15" s="1"/>
  <c r="AI82" i="15"/>
  <c r="V29" i="15"/>
  <c r="V25" i="15"/>
  <c r="AK25" i="15" s="1"/>
  <c r="AI91" i="15"/>
  <c r="AI45" i="15"/>
  <c r="W91" i="15"/>
  <c r="X91" i="15" s="1"/>
  <c r="Y91" i="15" s="1"/>
  <c r="AF93" i="15"/>
  <c r="I7" i="16" s="1"/>
  <c r="AI43" i="15"/>
  <c r="AA8" i="23"/>
  <c r="X35" i="23"/>
  <c r="Y14" i="20"/>
  <c r="AA14" i="20" s="1"/>
  <c r="X14" i="20"/>
  <c r="Y59" i="20"/>
  <c r="AA59" i="20" s="1"/>
  <c r="AG41" i="20"/>
  <c r="V53" i="15"/>
  <c r="V9" i="15"/>
  <c r="AK9" i="15" s="1"/>
  <c r="U16" i="15"/>
  <c r="V16" i="15" s="1"/>
  <c r="AC45" i="15"/>
  <c r="AD53" i="14"/>
  <c r="AA29" i="20"/>
  <c r="AG29" i="20"/>
  <c r="AG8" i="20"/>
  <c r="AA8" i="20"/>
  <c r="R93" i="15"/>
  <c r="W90" i="15"/>
  <c r="X90" i="15" s="1"/>
  <c r="Y90" i="15" s="1"/>
  <c r="Z48" i="19"/>
  <c r="Y48" i="19"/>
  <c r="X53" i="14"/>
  <c r="F6" i="16" s="1"/>
  <c r="Z90" i="15"/>
  <c r="AB90" i="15" s="1"/>
  <c r="AC90" i="15" s="1"/>
  <c r="Z60" i="15"/>
  <c r="Y60" i="15"/>
  <c r="U23" i="23"/>
  <c r="V23" i="23" s="1"/>
  <c r="Y47" i="20"/>
  <c r="AA7" i="19"/>
  <c r="AB7" i="19" s="1"/>
  <c r="AC7" i="19" s="1"/>
  <c r="X7" i="19"/>
  <c r="Y7" i="19" s="1"/>
  <c r="AA13" i="19"/>
  <c r="AB13" i="19" s="1"/>
  <c r="AC13" i="19" s="1"/>
  <c r="X13" i="19"/>
  <c r="AG44" i="20"/>
  <c r="AA44" i="20"/>
  <c r="Y18" i="20"/>
  <c r="O93" i="15"/>
  <c r="Y29" i="23"/>
  <c r="X29" i="23"/>
  <c r="V53" i="19"/>
  <c r="C8" i="16" s="1"/>
  <c r="Z5" i="19"/>
  <c r="AI5" i="19" s="1"/>
  <c r="AG53" i="20"/>
  <c r="AA53" i="20"/>
  <c r="W53" i="19"/>
  <c r="AA5" i="19"/>
  <c r="X5" i="19"/>
  <c r="Z66" i="15"/>
  <c r="W66" i="15"/>
  <c r="X66" i="15" s="1"/>
  <c r="Y66" i="15" s="1"/>
  <c r="AB91" i="15"/>
  <c r="AC91" i="15" s="1"/>
  <c r="AE71" i="13"/>
  <c r="Z86" i="15"/>
  <c r="Y86" i="15"/>
  <c r="Z7" i="15"/>
  <c r="AC7" i="15" s="1"/>
  <c r="Y7" i="15"/>
  <c r="R41" i="23"/>
  <c r="U5" i="23"/>
  <c r="AI20" i="15"/>
  <c r="AB20" i="15"/>
  <c r="AC20" i="15" s="1"/>
  <c r="AG38" i="23"/>
  <c r="AA38" i="23"/>
  <c r="V58" i="15"/>
  <c r="Z89" i="15"/>
  <c r="W89" i="15"/>
  <c r="X89" i="15" s="1"/>
  <c r="Y89" i="15" s="1"/>
  <c r="AA11" i="23"/>
  <c r="AI78" i="15"/>
  <c r="AC78" i="15"/>
  <c r="X32" i="23"/>
  <c r="AG11" i="20"/>
  <c r="AA11" i="20"/>
  <c r="AI23" i="19"/>
  <c r="AA23" i="19"/>
  <c r="AB23" i="19" s="1"/>
  <c r="AC23" i="19" s="1"/>
  <c r="AI7" i="19"/>
  <c r="R63" i="20"/>
  <c r="U5" i="20"/>
  <c r="Y40" i="15"/>
  <c r="Z40" i="15"/>
  <c r="AL40" i="15" s="1"/>
  <c r="Z67" i="15"/>
  <c r="W67" i="15"/>
  <c r="X67" i="15" s="1"/>
  <c r="Y67" i="15" s="1"/>
  <c r="U14" i="15"/>
  <c r="AH14" i="15"/>
  <c r="AL14" i="15" s="1"/>
  <c r="AI88" i="15"/>
  <c r="AB88" i="15"/>
  <c r="AC88" i="15" s="1"/>
  <c r="AA16" i="20"/>
  <c r="AC35" i="15"/>
  <c r="AI35" i="15"/>
  <c r="V55" i="15"/>
  <c r="AG26" i="20"/>
  <c r="AA26" i="20"/>
  <c r="U76" i="15"/>
  <c r="V76" i="15" s="1"/>
  <c r="AK76" i="15" s="1"/>
  <c r="U74" i="15"/>
  <c r="V74" i="15" s="1"/>
  <c r="Y61" i="15"/>
  <c r="Z61" i="15"/>
  <c r="AC61" i="15" s="1"/>
  <c r="AE53" i="14"/>
  <c r="AG38" i="20"/>
  <c r="AA38" i="20"/>
  <c r="AE31" i="13"/>
  <c r="Y31" i="13"/>
  <c r="AI80" i="15"/>
  <c r="AC80" i="15"/>
  <c r="X94" i="13"/>
  <c r="G5" i="16" s="1"/>
  <c r="AE70" i="13"/>
  <c r="AI31" i="15"/>
  <c r="AC31" i="15"/>
  <c r="W32" i="13"/>
  <c r="AH32" i="13" s="1"/>
  <c r="Z65" i="15"/>
  <c r="Y65" i="15"/>
  <c r="AK55" i="15" l="1"/>
  <c r="Z55" i="15"/>
  <c r="I14" i="16"/>
  <c r="Z69" i="15"/>
  <c r="W69" i="15"/>
  <c r="X69" i="15" s="1"/>
  <c r="Y69" i="15" s="1"/>
  <c r="Z63" i="20"/>
  <c r="G9" i="16" s="1"/>
  <c r="W74" i="15"/>
  <c r="X74" i="15" s="1"/>
  <c r="Z74" i="15" s="1"/>
  <c r="AC74" i="15" s="1"/>
  <c r="AK74" i="15"/>
  <c r="AA24" i="20"/>
  <c r="AG24" i="20"/>
  <c r="Y53" i="15"/>
  <c r="AK53" i="15"/>
  <c r="AC84" i="15"/>
  <c r="AI84" i="15"/>
  <c r="Y58" i="15"/>
  <c r="AK58" i="15"/>
  <c r="AE32" i="13"/>
  <c r="AE94" i="13" s="1"/>
  <c r="Y32" i="13"/>
  <c r="Y94" i="13" s="1"/>
  <c r="H5" i="16" s="1"/>
  <c r="AC94" i="13"/>
  <c r="AG47" i="20"/>
  <c r="AG16" i="20"/>
  <c r="AB69" i="15"/>
  <c r="AC69" i="15" s="1"/>
  <c r="AB18" i="15"/>
  <c r="AC18" i="15" s="1"/>
  <c r="Y18" i="15"/>
  <c r="AG35" i="23"/>
  <c r="AF53" i="14"/>
  <c r="AI5" i="15"/>
  <c r="AI65" i="15"/>
  <c r="AI90" i="15"/>
  <c r="Z53" i="15"/>
  <c r="AC53" i="15" s="1"/>
  <c r="AG16" i="15"/>
  <c r="AK16" i="15" s="1"/>
  <c r="AI66" i="15"/>
  <c r="AG59" i="20"/>
  <c r="AG14" i="20"/>
  <c r="AA41" i="20"/>
  <c r="Y29" i="15"/>
  <c r="Z29" i="15"/>
  <c r="Z25" i="15"/>
  <c r="Y25" i="15"/>
  <c r="AH53" i="19"/>
  <c r="AA47" i="20"/>
  <c r="Z9" i="15"/>
  <c r="Y9" i="15"/>
  <c r="AI69" i="15"/>
  <c r="AI60" i="15"/>
  <c r="AC60" i="15"/>
  <c r="AD94" i="13"/>
  <c r="U93" i="15"/>
  <c r="AI67" i="15"/>
  <c r="AI48" i="19"/>
  <c r="AC48" i="19"/>
  <c r="AB41" i="23"/>
  <c r="X23" i="23"/>
  <c r="Y23" i="23"/>
  <c r="Z58" i="15"/>
  <c r="Y13" i="19"/>
  <c r="U63" i="20"/>
  <c r="V5" i="20"/>
  <c r="AB63" i="20" s="1"/>
  <c r="AI7" i="15"/>
  <c r="Z16" i="15"/>
  <c r="W16" i="15"/>
  <c r="X16" i="15" s="1"/>
  <c r="X53" i="19"/>
  <c r="D8" i="16" s="1"/>
  <c r="AG18" i="20"/>
  <c r="AA18" i="20"/>
  <c r="Y74" i="15"/>
  <c r="AG32" i="23"/>
  <c r="AA32" i="23"/>
  <c r="AI86" i="15"/>
  <c r="AC86" i="15"/>
  <c r="AA53" i="19"/>
  <c r="AB5" i="19"/>
  <c r="AI61" i="15"/>
  <c r="Y5" i="19"/>
  <c r="AI89" i="15"/>
  <c r="AB89" i="15"/>
  <c r="AC89" i="15" s="1"/>
  <c r="Y55" i="15"/>
  <c r="AC55" i="15"/>
  <c r="V14" i="15"/>
  <c r="AG14" i="15"/>
  <c r="AI40" i="15"/>
  <c r="AC40" i="15"/>
  <c r="Z53" i="19"/>
  <c r="F8" i="16" s="1"/>
  <c r="U41" i="23"/>
  <c r="V5" i="23"/>
  <c r="W94" i="13"/>
  <c r="F5" i="16" s="1"/>
  <c r="W76" i="15"/>
  <c r="X76" i="15" s="1"/>
  <c r="Z76" i="15" s="1"/>
  <c r="AA29" i="23"/>
  <c r="AG29" i="23"/>
  <c r="AI74" i="15" l="1"/>
  <c r="AK14" i="15"/>
  <c r="AC9" i="15"/>
  <c r="AL9" i="15"/>
  <c r="AB53" i="19"/>
  <c r="G8" i="16" s="1"/>
  <c r="AL5" i="19"/>
  <c r="AI25" i="15"/>
  <c r="AI53" i="15"/>
  <c r="AI16" i="15"/>
  <c r="AC25" i="15"/>
  <c r="Y53" i="19"/>
  <c r="E8" i="16" s="1"/>
  <c r="AC5" i="19"/>
  <c r="AC53" i="19" s="1"/>
  <c r="H8" i="16" s="1"/>
  <c r="AI9" i="15"/>
  <c r="Y76" i="15"/>
  <c r="AH93" i="15"/>
  <c r="AG93" i="15"/>
  <c r="AA23" i="23"/>
  <c r="AG23" i="23"/>
  <c r="Y5" i="23"/>
  <c r="AC41" i="23" s="1"/>
  <c r="X5" i="23"/>
  <c r="X41" i="23" s="1"/>
  <c r="E10" i="16" s="1"/>
  <c r="V41" i="23"/>
  <c r="C10" i="16" s="1"/>
  <c r="V63" i="20"/>
  <c r="C9" i="16" s="1"/>
  <c r="Y5" i="20"/>
  <c r="AC63" i="20" s="1"/>
  <c r="X5" i="20"/>
  <c r="X63" i="20" s="1"/>
  <c r="E9" i="16" s="1"/>
  <c r="AI13" i="19"/>
  <c r="AI53" i="19" s="1"/>
  <c r="AG53" i="19"/>
  <c r="AI59" i="15"/>
  <c r="AC58" i="15"/>
  <c r="AI76" i="15"/>
  <c r="AB76" i="15"/>
  <c r="AC76" i="15" s="1"/>
  <c r="AI55" i="15"/>
  <c r="Y16" i="15"/>
  <c r="W14" i="15"/>
  <c r="Z14" i="15"/>
  <c r="V93" i="15"/>
  <c r="C7" i="16" s="1"/>
  <c r="C14" i="16" l="1"/>
  <c r="AI14" i="15"/>
  <c r="AI93" i="15" s="1"/>
  <c r="AC14" i="15"/>
  <c r="Z93" i="15"/>
  <c r="F7" i="16" s="1"/>
  <c r="X14" i="15"/>
  <c r="W93" i="15"/>
  <c r="AG5" i="20"/>
  <c r="AG63" i="20" s="1"/>
  <c r="AA5" i="20"/>
  <c r="AA63" i="20" s="1"/>
  <c r="H9" i="16" s="1"/>
  <c r="Y63" i="20"/>
  <c r="F9" i="16" s="1"/>
  <c r="AG5" i="23"/>
  <c r="AG41" i="23" s="1"/>
  <c r="AA5" i="23"/>
  <c r="AA41" i="23" s="1"/>
  <c r="H10" i="16" s="1"/>
  <c r="Y41" i="23"/>
  <c r="F10" i="16" s="1"/>
  <c r="AB16" i="15"/>
  <c r="AC16" i="15" s="1"/>
  <c r="AA93" i="15"/>
  <c r="F14" i="16" l="1"/>
  <c r="AB93" i="15"/>
  <c r="G7" i="16" s="1"/>
  <c r="G14" i="16" s="1"/>
  <c r="X93" i="15"/>
  <c r="D7" i="16" s="1"/>
  <c r="D14" i="16" s="1"/>
  <c r="Y14" i="15"/>
  <c r="Y93" i="15" s="1"/>
  <c r="E7" i="16" s="1"/>
  <c r="E14" i="16" s="1"/>
  <c r="AC93" i="15"/>
  <c r="H7" i="16" s="1"/>
  <c r="H14"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黑白</author>
  </authors>
  <commentList>
    <comment ref="L65" authorId="0" shapeId="0" xr:uid="{00000000-0006-0000-0200-000001000000}">
      <text>
        <r>
          <rPr>
            <b/>
            <sz val="9"/>
            <rFont val="宋体"/>
            <family val="3"/>
            <charset val="134"/>
          </rPr>
          <t>黑白</t>
        </r>
        <r>
          <rPr>
            <b/>
            <sz val="9"/>
            <rFont val="Tahoma"/>
            <family val="2"/>
          </rPr>
          <t>:</t>
        </r>
        <r>
          <rPr>
            <sz val="9"/>
            <rFont val="Tahoma"/>
            <family val="2"/>
          </rPr>
          <t xml:space="preserve">
</t>
        </r>
        <r>
          <rPr>
            <sz val="9"/>
            <rFont val="宋体"/>
            <family val="3"/>
            <charset val="134"/>
          </rPr>
          <t>前期费</t>
        </r>
        <r>
          <rPr>
            <sz val="9"/>
            <rFont val="Tahoma"/>
            <family val="2"/>
          </rPr>
          <t>=</t>
        </r>
        <r>
          <rPr>
            <sz val="9"/>
            <rFont val="宋体"/>
            <family val="3"/>
            <charset val="134"/>
          </rPr>
          <t>设计费</t>
        </r>
        <r>
          <rPr>
            <sz val="9"/>
            <rFont val="Tahoma"/>
            <family val="2"/>
          </rPr>
          <t>+</t>
        </r>
        <r>
          <rPr>
            <sz val="9"/>
            <rFont val="宋体"/>
            <family val="3"/>
            <charset val="134"/>
          </rPr>
          <t xml:space="preserve">勘察费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黑白</author>
  </authors>
  <commentList>
    <comment ref="X26" authorId="0" shapeId="0" xr:uid="{00000000-0006-0000-0300-000001000000}">
      <text>
        <r>
          <rPr>
            <b/>
            <sz val="9"/>
            <rFont val="宋体"/>
            <family val="3"/>
            <charset val="134"/>
          </rPr>
          <t>黑白</t>
        </r>
        <r>
          <rPr>
            <b/>
            <sz val="9"/>
            <rFont val="Tahoma"/>
            <family val="2"/>
          </rPr>
          <t>:</t>
        </r>
        <r>
          <rPr>
            <sz val="9"/>
            <rFont val="Tahoma"/>
            <family val="2"/>
          </rPr>
          <t xml:space="preserve">
2021.8.30
</t>
        </r>
      </text>
    </comment>
  </commentList>
</comments>
</file>

<file path=xl/sharedStrings.xml><?xml version="1.0" encoding="utf-8"?>
<sst xmlns="http://schemas.openxmlformats.org/spreadsheetml/2006/main" count="2437" uniqueCount="1091">
  <si>
    <t>项目经营管理台账（2017年）（电子）</t>
  </si>
  <si>
    <t>序号</t>
  </si>
  <si>
    <t>项目信息</t>
  </si>
  <si>
    <t>甲方信息</t>
  </si>
  <si>
    <t>审计信息</t>
  </si>
  <si>
    <t>甲方支付信息</t>
  </si>
  <si>
    <t>公司支付信息</t>
  </si>
  <si>
    <t>公司结余         （元）</t>
  </si>
  <si>
    <t>备注</t>
  </si>
  <si>
    <t>项目名称</t>
  </si>
  <si>
    <t>项目概况</t>
  </si>
  <si>
    <t>项目编号</t>
  </si>
  <si>
    <t>单位</t>
  </si>
  <si>
    <t>联系人</t>
  </si>
  <si>
    <t>联系方式</t>
  </si>
  <si>
    <t>经营         负责人</t>
  </si>
  <si>
    <t>经营         参与人</t>
  </si>
  <si>
    <t>设计费（元）</t>
  </si>
  <si>
    <t>勘察费（元）</t>
  </si>
  <si>
    <t>支付金额（元）</t>
  </si>
  <si>
    <t>未收金额（元）</t>
  </si>
  <si>
    <t>单位     （个人）</t>
  </si>
  <si>
    <t>内容</t>
  </si>
  <si>
    <t>金额（元）</t>
  </si>
  <si>
    <t>经营奖金（元）</t>
  </si>
  <si>
    <t>生产奖金（元）</t>
  </si>
  <si>
    <t>房山区108国道大修工程（峡峪口桥-十霞路）K73+900-K104+330</t>
  </si>
  <si>
    <t>二级路、30km</t>
  </si>
  <si>
    <t>HNJH2017-001</t>
  </si>
  <si>
    <t>房山公路局</t>
  </si>
  <si>
    <t>白秀龙</t>
  </si>
  <si>
    <t>13811745176</t>
  </si>
  <si>
    <t>杨建东</t>
  </si>
  <si>
    <t>王新星</t>
  </si>
  <si>
    <t>刘素良</t>
  </si>
  <si>
    <t>测量</t>
  </si>
  <si>
    <t>取芯</t>
  </si>
  <si>
    <t>瑞通十九处</t>
  </si>
  <si>
    <t>路况</t>
  </si>
  <si>
    <t>房山区108国道大修工程（涞宝路-市界）K120+850-139+450</t>
  </si>
  <si>
    <t>二级路、15km</t>
  </si>
  <si>
    <t>HNJH2017-002</t>
  </si>
  <si>
    <t>刘素梁</t>
  </si>
  <si>
    <t>测绘</t>
  </si>
  <si>
    <t>房山区良三路大修工程（K4+500-K8+500)</t>
  </si>
  <si>
    <t>一级路、3.956km</t>
  </si>
  <si>
    <t>HNJH2017-004</t>
  </si>
  <si>
    <t xml:space="preserve">延庆公路局 </t>
  </si>
  <si>
    <t>吴颖</t>
  </si>
  <si>
    <t xml:space="preserve"> 13488805779</t>
  </si>
  <si>
    <t>延庆区滦赤路大修工程（K108+890-K129+000)</t>
  </si>
  <si>
    <t>三级路、20.11km</t>
  </si>
  <si>
    <t>HNJH2017-006</t>
  </si>
  <si>
    <t>2018年通州区普通公路养护工程勘察设计-2标，通州区漷马路大修工程（K9+480-K21+000)，转中修漷马路（K10+000-K16+000）中修工程</t>
  </si>
  <si>
    <t>二、三级路、11.52km(方案）</t>
  </si>
  <si>
    <t>HNJH2017-007</t>
  </si>
  <si>
    <t xml:space="preserve">通州公路局 </t>
  </si>
  <si>
    <t>张伟</t>
  </si>
  <si>
    <t>13439987630</t>
  </si>
  <si>
    <t>2018年通州区普通公路养护工程勘察设计-2标，通州区觅西路大修工程（K0+000-K10+000)</t>
  </si>
  <si>
    <t>二级路、10.54km</t>
  </si>
  <si>
    <t>HNJH2017-008</t>
  </si>
  <si>
    <t>十九处</t>
  </si>
  <si>
    <t>弯沉</t>
  </si>
  <si>
    <t>石桥片区、果园片区区域环境提升工程</t>
  </si>
  <si>
    <t>果园片区</t>
  </si>
  <si>
    <t>HBJH2017-009</t>
  </si>
  <si>
    <t>密云园林绿化服务中心</t>
  </si>
  <si>
    <t>王辉</t>
  </si>
  <si>
    <t>13681368593</t>
  </si>
  <si>
    <t>石桥片区一</t>
  </si>
  <si>
    <t>石桥片区二</t>
  </si>
  <si>
    <t>石桥片区-微森公园</t>
  </si>
  <si>
    <t>物华科技综合楼项目道路开口设计工程</t>
  </si>
  <si>
    <t>开口</t>
  </si>
  <si>
    <t>HXJH2017-010</t>
  </si>
  <si>
    <t>北京万华置业有限公司</t>
  </si>
  <si>
    <t>马旭</t>
  </si>
  <si>
    <t>设计咨询</t>
  </si>
  <si>
    <t>帮忙马旭</t>
  </si>
  <si>
    <t>9个乡镇，202条道路</t>
  </si>
  <si>
    <t>HXJH2017-011</t>
  </si>
  <si>
    <t>潘宝龙</t>
  </si>
  <si>
    <t>13810052975</t>
  </si>
  <si>
    <t>桥长12.5米，宽10米，现浇实心板梁</t>
  </si>
  <si>
    <t>HXJH2017-012</t>
  </si>
  <si>
    <t>通州区燃气管线回填道路恢复工程</t>
  </si>
  <si>
    <t>胡郎路（变更后）三级公路4.41km</t>
  </si>
  <si>
    <t>HXJH2017-014</t>
  </si>
  <si>
    <t>燃气基建公司</t>
  </si>
  <si>
    <t>潞城中路（定向钻）二级公路1.57km</t>
  </si>
  <si>
    <t>潞西路三级公路2.09km</t>
  </si>
  <si>
    <t>张凤路（明开）二级公路3.72km，（定向钻）二级公路2.65km</t>
  </si>
  <si>
    <t>漷马路三级公路0.50km</t>
  </si>
  <si>
    <t>2018年张家湾镇乡村公路（16条道路）</t>
  </si>
  <si>
    <t>大小北关路，2.794km</t>
  </si>
  <si>
    <t>HNJH2017-015L01S</t>
  </si>
  <si>
    <t>张湾公路站</t>
  </si>
  <si>
    <t>卢世茹</t>
  </si>
  <si>
    <t>13520175981</t>
  </si>
  <si>
    <t>小北关东路，0.833km</t>
  </si>
  <si>
    <t>HNJH2017-015L02S</t>
  </si>
  <si>
    <t>2019.1.14</t>
  </si>
  <si>
    <t>小北关北路，1.117km</t>
  </si>
  <si>
    <t>HNJH2017-015L03S</t>
  </si>
  <si>
    <t>瓜厂路，1.38km</t>
  </si>
  <si>
    <t>HNJH2017-015L04S</t>
  </si>
  <si>
    <t>样田东路，1.39km</t>
  </si>
  <si>
    <t>HNJH2017-015L05S</t>
  </si>
  <si>
    <t>沿上路，0.449km</t>
  </si>
  <si>
    <t>HNJH2017-015L06S</t>
  </si>
  <si>
    <t>中街南路，1.412km</t>
  </si>
  <si>
    <t>HNJH2017-015L07S</t>
  </si>
  <si>
    <t>中街西路，1.543km</t>
  </si>
  <si>
    <t>HNJH2017-015L08S</t>
  </si>
  <si>
    <t>三间房路，1.114km</t>
  </si>
  <si>
    <t>HNJH2017-015L09S</t>
  </si>
  <si>
    <t>高营路，0.424km</t>
  </si>
  <si>
    <t>HNJH2017-015L10S</t>
  </si>
  <si>
    <t>垡头南街，1.944km</t>
  </si>
  <si>
    <t>HNJH2017-015L11S</t>
  </si>
  <si>
    <t>中街东路，0.44km</t>
  </si>
  <si>
    <t>HNJH2017-015L12S</t>
  </si>
  <si>
    <t>枣林庄外围路，0.862km</t>
  </si>
  <si>
    <t>HNJH2017-015L13S</t>
  </si>
  <si>
    <t>坨堤西路，1.878km</t>
  </si>
  <si>
    <t>HNJH2017-015L14S</t>
  </si>
  <si>
    <t>牌楼营路，0.629km</t>
  </si>
  <si>
    <t>HNJH2017-015L15S</t>
  </si>
  <si>
    <t>2018年台湖镇乡村公路（11条道路，作废1条）</t>
  </si>
  <si>
    <t>唐大庄北路，0.516km</t>
  </si>
  <si>
    <t>HNJH2017-016L01S</t>
  </si>
  <si>
    <t>台湖公路站</t>
  </si>
  <si>
    <t>姜永刚</t>
  </si>
  <si>
    <t>13716336185</t>
  </si>
  <si>
    <t>兴武林路，0.647km</t>
  </si>
  <si>
    <t xml:space="preserve">HNJH2017-016L02S </t>
  </si>
  <si>
    <t>东减路，0.801km</t>
  </si>
  <si>
    <t>HNJH2017-016L03S</t>
  </si>
  <si>
    <t>铺九路，0.836km</t>
  </si>
  <si>
    <t>HNJH2017-016L04S</t>
  </si>
  <si>
    <t>农贸市场路，0.79km</t>
  </si>
  <si>
    <t>HNJH2017-016L05S</t>
  </si>
  <si>
    <t>铺外四路，0.493km</t>
  </si>
  <si>
    <t>HNJH2017-016L06S</t>
  </si>
  <si>
    <t>张九路，0.387km</t>
  </si>
  <si>
    <t>HNJH2017-016L07S</t>
  </si>
  <si>
    <t>西下营路，1.93km</t>
  </si>
  <si>
    <t>HNJH2017-016L08S</t>
  </si>
  <si>
    <t>蒋辛庄北路，1.716km</t>
  </si>
  <si>
    <t>HNJH2017-016L09S</t>
  </si>
  <si>
    <t>和合站东桥</t>
  </si>
  <si>
    <t>HNJH2017-019</t>
  </si>
  <si>
    <t>杜店东桥</t>
  </si>
  <si>
    <t>武协路板函</t>
  </si>
  <si>
    <t>大灰店北路1号板函</t>
  </si>
  <si>
    <t>蒋辛庄北路桥</t>
  </si>
  <si>
    <t>大北关桥</t>
  </si>
  <si>
    <t>靛庄村西桥</t>
  </si>
  <si>
    <t>小耕垡路，0.655km</t>
  </si>
  <si>
    <t>HNJH2017-016L11S</t>
  </si>
  <si>
    <t>南火垡路，0.543km</t>
  </si>
  <si>
    <t>HNJH2017-021L01S</t>
  </si>
  <si>
    <t>高营路，1.451km</t>
  </si>
  <si>
    <t>HNJH2017-021L02S</t>
  </si>
  <si>
    <t>北大化路，1.521km</t>
  </si>
  <si>
    <t>HNJH2017-021L03S</t>
  </si>
  <si>
    <t>2019年张家湾镇乡村公路储备项目第二批</t>
  </si>
  <si>
    <t>北仪阁西路（新增）</t>
  </si>
  <si>
    <t>HNJH2017-021L04S</t>
  </si>
  <si>
    <t>三采路（西段）（新增）</t>
  </si>
  <si>
    <t>HNJH2017-021L05S</t>
  </si>
  <si>
    <t>高营东路（新增）</t>
  </si>
  <si>
    <t>HNJH2017-021L06S</t>
  </si>
  <si>
    <t xml:space="preserve">2018下半年台湖镇乡村公路储备项目                                                 项目5条道路（3出图2新增）                         </t>
  </si>
  <si>
    <t>铺外二路西段，0.717km</t>
  </si>
  <si>
    <t>HNJH2017-022L01S</t>
  </si>
  <si>
    <t>北凉路，0.672km</t>
  </si>
  <si>
    <t>HNJH2017-022L02S</t>
  </si>
  <si>
    <t>尖垡路，0.335km</t>
  </si>
  <si>
    <t>HNJH2017-022L03S</t>
  </si>
  <si>
    <t>HNJH2017-022L04S</t>
  </si>
  <si>
    <t>HNJH2017-022L05S</t>
  </si>
  <si>
    <t xml:space="preserve"> 2019年漷县镇乡村公路储备项目    6条道路（2出图3方案1作废）</t>
  </si>
  <si>
    <t>三马路，0.582km</t>
  </si>
  <si>
    <t>HNJH2017-023L01S</t>
  </si>
  <si>
    <t>漷县公路站</t>
  </si>
  <si>
    <t>李超同</t>
  </si>
  <si>
    <t>13522038867</t>
  </si>
  <si>
    <t>测绘漷县镇自行委托测绘，三马路没上</t>
  </si>
  <si>
    <t>郭庄路，1.313km</t>
  </si>
  <si>
    <t>HNJH2017-023L02S</t>
  </si>
  <si>
    <t>小靛路</t>
  </si>
  <si>
    <t>HNJH2017-023L03S</t>
  </si>
  <si>
    <t>昌平沙河生态公园</t>
  </si>
  <si>
    <t>4万平米</t>
  </si>
  <si>
    <t>HBJH2017-024</t>
  </si>
  <si>
    <t>沙河镇政府</t>
  </si>
  <si>
    <t>宋岩</t>
  </si>
  <si>
    <t>13426361410</t>
  </si>
  <si>
    <t>三级路、7.55km</t>
  </si>
  <si>
    <t>HNJH2017-025</t>
  </si>
  <si>
    <t>北京市延庆区八达岭镇人民政府</t>
  </si>
  <si>
    <t>密云白河两岸绿化提升项目</t>
  </si>
  <si>
    <t>4km，89812m2</t>
  </si>
  <si>
    <t>园林中心</t>
  </si>
  <si>
    <t>总计：</t>
  </si>
  <si>
    <t>2019年上报数值</t>
  </si>
  <si>
    <t>2020年上报数值</t>
  </si>
  <si>
    <t>2021年上报数值</t>
  </si>
  <si>
    <t>经营信息</t>
  </si>
  <si>
    <r>
      <rPr>
        <b/>
        <sz val="10"/>
        <rFont val="华文仿宋"/>
        <family val="3"/>
        <charset val="134"/>
      </rPr>
      <t>概算信息</t>
    </r>
    <r>
      <rPr>
        <b/>
        <sz val="10"/>
        <color rgb="FFFF0000"/>
        <rFont val="华文仿宋"/>
        <family val="3"/>
        <charset val="134"/>
      </rPr>
      <t>（估算）</t>
    </r>
  </si>
  <si>
    <t>公司信息</t>
  </si>
  <si>
    <t>承接    日期</t>
  </si>
  <si>
    <t>资质</t>
  </si>
  <si>
    <t>咨询费（元）</t>
  </si>
  <si>
    <t>合同/补充协议额（元）</t>
  </si>
  <si>
    <t>公司收入信息</t>
  </si>
  <si>
    <t>合计额（元）</t>
  </si>
  <si>
    <t>应支额（元）</t>
  </si>
  <si>
    <t>应收额（元）</t>
  </si>
  <si>
    <t>实收金额（元）</t>
  </si>
  <si>
    <t>河南交规院</t>
  </si>
  <si>
    <t>咨询</t>
  </si>
  <si>
    <t>总计</t>
  </si>
  <si>
    <t>项目经营管理台账（2019年）（电子）</t>
  </si>
  <si>
    <t>20221.1.3</t>
  </si>
  <si>
    <t>HNJH2021-001</t>
  </si>
  <si>
    <t>北京市交通委员会房山分局</t>
  </si>
  <si>
    <t>王现卫</t>
  </si>
  <si>
    <t>13552275070</t>
  </si>
  <si>
    <t>曹立冬</t>
  </si>
  <si>
    <t>2021.2.</t>
  </si>
  <si>
    <t>HNJH2021-002</t>
  </si>
  <si>
    <t>星城地区主要道路提升工程</t>
  </si>
  <si>
    <t>综合治理，城市次干路5.2km</t>
  </si>
  <si>
    <t>HNJH2021-003</t>
  </si>
  <si>
    <t>北京市房山区燕山城市管理和交通委员会</t>
  </si>
  <si>
    <t>穆佳楠</t>
  </si>
  <si>
    <t>13910416067</t>
  </si>
  <si>
    <t>2020.3.1</t>
  </si>
  <si>
    <t>东刘路中修工程，4.49km</t>
  </si>
  <si>
    <t>HNJH2021-004</t>
  </si>
  <si>
    <t>北京市交通委员会延庆分局</t>
  </si>
  <si>
    <t>刑工</t>
  </si>
  <si>
    <t>13810992745</t>
  </si>
  <si>
    <t>北西路（戴工分包）</t>
  </si>
  <si>
    <t>戴时云</t>
  </si>
  <si>
    <t>戴工分包</t>
  </si>
  <si>
    <t>新华家园外电源工程—兴阳线电力管线开挖及回填道路恢复工程</t>
  </si>
  <si>
    <t>电力管线回填及路面恢复，长890米，面积4490m2</t>
  </si>
  <si>
    <t>HNJH2021-005</t>
  </si>
  <si>
    <t>新华家园健康科技（北京）有限公司</t>
  </si>
  <si>
    <t>盖振华</t>
  </si>
  <si>
    <t>专家费</t>
  </si>
  <si>
    <t>代理服务费</t>
  </si>
  <si>
    <t>招标文件</t>
  </si>
  <si>
    <t>2021年延庆区标线覆划工程</t>
  </si>
  <si>
    <t>HNJH2021-007</t>
  </si>
  <si>
    <t xml:space="preserve"> 刘一圻</t>
  </si>
  <si>
    <t>15210239334</t>
  </si>
  <si>
    <t>京雄高速跨路交通导行工程//、京雄高速跨路恢复工程（同上合并）</t>
  </si>
  <si>
    <t>HNJH2021-008-1</t>
  </si>
  <si>
    <t>曹立东</t>
  </si>
  <si>
    <t>HNJH2021-008-2</t>
  </si>
  <si>
    <t>HNJH2021-008-3</t>
  </si>
  <si>
    <t>8工区（走京宏）</t>
  </si>
  <si>
    <t>HNJH2021-009</t>
  </si>
  <si>
    <t>2021年延庆区昌赤路利民街路口隐患治理工程</t>
  </si>
  <si>
    <t>本项目位于昌赤路K50+726交叉口处。由于现况路口交通组织混乱，未设置信号灯，存在安全隐患，拟对本处路口实施隐患治理工程</t>
  </si>
  <si>
    <t>HNJH2021-010</t>
  </si>
  <si>
    <t>HNJH2021-011</t>
  </si>
  <si>
    <t>2022年房山区普通公路养护工程勘察设计-----第3标段兴良路（K14+700-K20+682）综合治理工程勘察设计</t>
  </si>
  <si>
    <t>HNJH2021-012</t>
  </si>
  <si>
    <t>项目经营管理台账（2018年）（电子）</t>
  </si>
  <si>
    <t>承接日期</t>
  </si>
  <si>
    <t>可研费（元）</t>
  </si>
  <si>
    <t>密云望潮亭、云启、时光公园提升工程设计</t>
  </si>
  <si>
    <t>JNJH2018-001</t>
  </si>
  <si>
    <t>韩国峰</t>
  </si>
  <si>
    <t>路检</t>
  </si>
  <si>
    <t>大修，19.3km，调整为预养</t>
  </si>
  <si>
    <t>2019.8.31</t>
  </si>
  <si>
    <t>设计</t>
  </si>
  <si>
    <t>HNJH2018-014L01S</t>
  </si>
  <si>
    <t>吕工</t>
  </si>
  <si>
    <t>测绘+取芯</t>
  </si>
  <si>
    <t>未施工</t>
  </si>
  <si>
    <t>农贸市场路(张台路-铺外四路）K0-K0+920</t>
  </si>
  <si>
    <t>HNJH2018-014L07S</t>
  </si>
  <si>
    <t>政府大街西段</t>
  </si>
  <si>
    <t>HNJH2018-014L03S</t>
  </si>
  <si>
    <t>HNJH2018-014L04S</t>
  </si>
  <si>
    <t>HNJH2018-014L05S</t>
  </si>
  <si>
    <t>HNJH2018-014L06S</t>
  </si>
  <si>
    <t>HNJH2018-014L02S</t>
  </si>
  <si>
    <t>枣凤沟路（新建）</t>
  </si>
  <si>
    <t>HNJH2018-015L01S</t>
  </si>
  <si>
    <t>何牌路支线（新建）</t>
  </si>
  <si>
    <t>HNJH2018-015L02S</t>
  </si>
  <si>
    <t>南姚园生态园路（路网改造）</t>
  </si>
  <si>
    <t>HNJH2018-015L03S</t>
  </si>
  <si>
    <t>东翟路（大修）</t>
  </si>
  <si>
    <t>HNJH2018-015L04S</t>
  </si>
  <si>
    <t>三间房北环路延长线（新建）</t>
  </si>
  <si>
    <t>HNJH2018-015L05S</t>
  </si>
  <si>
    <t>卫生院南路（综合治理）</t>
  </si>
  <si>
    <t>HNJH2018-015L06S</t>
  </si>
  <si>
    <t>城市次干路2.5km</t>
  </si>
  <si>
    <t>北京圣泉投资有限公司</t>
  </si>
  <si>
    <t>肖建营</t>
  </si>
  <si>
    <r>
      <rPr>
        <sz val="10"/>
        <rFont val="华文仿宋"/>
        <family val="3"/>
        <charset val="134"/>
      </rPr>
      <t>1</t>
    </r>
    <r>
      <rPr>
        <sz val="10"/>
        <rFont val="华文仿宋"/>
        <family val="3"/>
        <charset val="134"/>
      </rPr>
      <t>3911835251</t>
    </r>
  </si>
  <si>
    <t>杨建东/王新星</t>
  </si>
  <si>
    <t>桥梁</t>
  </si>
  <si>
    <t>给排水</t>
  </si>
  <si>
    <t>通州体育局</t>
  </si>
  <si>
    <t>吕海龙</t>
  </si>
  <si>
    <r>
      <rPr>
        <sz val="10"/>
        <rFont val="华文仿宋"/>
        <family val="3"/>
        <charset val="134"/>
      </rPr>
      <t>1</t>
    </r>
    <r>
      <rPr>
        <sz val="10"/>
        <rFont val="华文仿宋"/>
        <family val="3"/>
        <charset val="134"/>
      </rPr>
      <t>3910628276</t>
    </r>
  </si>
  <si>
    <t>补充协议额（元）</t>
  </si>
  <si>
    <t>开票金额（元）</t>
  </si>
  <si>
    <t>2020年房山区普通公路大修、预防性养护工程勘察设计</t>
  </si>
  <si>
    <t>2019.1.3</t>
  </si>
  <si>
    <t>(第1标段西环路）大修+综治（公路，二级，2.831km）</t>
  </si>
  <si>
    <t>HNJH2019-001</t>
  </si>
  <si>
    <t>任永超</t>
  </si>
  <si>
    <t>测绘及取芯费用燕山管委会支付，本单位不再另行支付。</t>
  </si>
  <si>
    <t>108国道K42-K67+900</t>
  </si>
  <si>
    <t>2019.1.4</t>
  </si>
  <si>
    <t>通州区2019年健身步道工程</t>
  </si>
  <si>
    <t>儒林小公园位于运河大堤路西侧，健步道全长0.839km</t>
  </si>
  <si>
    <t>天津城建院</t>
  </si>
  <si>
    <t>CJJH2019-004</t>
  </si>
  <si>
    <t xml:space="preserve">通州体育局 </t>
  </si>
  <si>
    <t>环湖路健步道位于环湖小镇东侧，健步道全长2.708km</t>
  </si>
  <si>
    <t>2019.10.31</t>
  </si>
  <si>
    <t>2019年延庆区昌赤路（K53+000-K60+300)中修工程</t>
  </si>
  <si>
    <t>中修（公路二级，7.3km）</t>
  </si>
  <si>
    <t>长安大学</t>
  </si>
  <si>
    <t>LS2019-31-01</t>
  </si>
  <si>
    <r>
      <rPr>
        <sz val="10"/>
        <rFont val="华文仿宋"/>
        <family val="3"/>
        <charset val="134"/>
      </rPr>
      <t>1</t>
    </r>
    <r>
      <rPr>
        <sz val="10"/>
        <rFont val="华文仿宋"/>
        <family val="3"/>
        <charset val="134"/>
      </rPr>
      <t>3810992745</t>
    </r>
  </si>
  <si>
    <t>长安，管理费25%，6万元开票，95717元报销。公司收入扣除测量交桩费7300元，差12.25元未给。结清。</t>
  </si>
  <si>
    <t>戴工</t>
  </si>
  <si>
    <t>交桩</t>
  </si>
  <si>
    <t>2019年延庆区G234（K220+300-K223+650)中修工程</t>
  </si>
  <si>
    <t>中修，公路二级4km</t>
  </si>
  <si>
    <t>河北华越</t>
  </si>
  <si>
    <t>华越，合同中49544.02.元计入编号18。</t>
  </si>
  <si>
    <t>公路册一期</t>
  </si>
  <si>
    <t>公路册二期</t>
  </si>
  <si>
    <t>延庆区外石路（K0+395-K5+000)加宽工程</t>
  </si>
  <si>
    <t>2019.3.15</t>
  </si>
  <si>
    <t>外石路两侧加宽，公路三级4.604km</t>
  </si>
  <si>
    <t>HNJH2019-013</t>
  </si>
  <si>
    <t>燕山地区燕东路(北庄路口至丁东路路口)改造提升工程</t>
  </si>
  <si>
    <t>2019.3.22</t>
  </si>
  <si>
    <t>大修，（城市次干路1.957km）</t>
  </si>
  <si>
    <t>HNJH2019-014</t>
  </si>
  <si>
    <t>燕山区办事处</t>
  </si>
  <si>
    <t>穆科长</t>
  </si>
  <si>
    <t>张华</t>
  </si>
  <si>
    <t>效果图</t>
  </si>
  <si>
    <t>2019.5.5</t>
  </si>
  <si>
    <t>东水路（乡村路四级2.973km）</t>
  </si>
  <si>
    <t>HNJH2019-015L01S</t>
  </si>
  <si>
    <t>西碱路即2017年西下营延长线。已有测图。</t>
  </si>
  <si>
    <t>西碱路（乡村路四级1.282km）</t>
  </si>
  <si>
    <t>HNJH2019-015L02S</t>
  </si>
  <si>
    <t>台东路（乡村路四级0.81km）</t>
  </si>
  <si>
    <t>HNJH2019-015L03S</t>
  </si>
  <si>
    <t>HNJH2019-015L04S</t>
  </si>
  <si>
    <t>台湖西路（乡村路四级0.446km）</t>
  </si>
  <si>
    <t>HNJH2019-015L05S</t>
  </si>
  <si>
    <t>HNJH2019-015L06S</t>
  </si>
  <si>
    <t>2019.3.27</t>
  </si>
  <si>
    <t>河北镇污水管线及雨水管线工程</t>
  </si>
  <si>
    <t>CJJH2019-016</t>
  </si>
  <si>
    <t>河北镇人民政府</t>
  </si>
  <si>
    <t>甲方超支8.25元</t>
  </si>
  <si>
    <t>2019.5.15</t>
  </si>
  <si>
    <t>大修，公路一二三级长度29.669km。2020年延庆区G234大修工程(K187+244-K209+113）</t>
  </si>
  <si>
    <t>HNJH2019-017</t>
  </si>
  <si>
    <t>质监站</t>
  </si>
  <si>
    <t>弯沉盆检测</t>
  </si>
  <si>
    <t>2020年延庆区G234中修工程(209+113-212+400）</t>
  </si>
  <si>
    <t>2019.5.24</t>
  </si>
  <si>
    <t>中修，公路二级长度3.287km</t>
  </si>
  <si>
    <t>河北华跃</t>
  </si>
  <si>
    <t>HNHY2019-018</t>
  </si>
  <si>
    <t>华越</t>
  </si>
  <si>
    <t>2020年房山区普通公路大修、预防性养护工程勘察设计，同编号1，一个招标项目</t>
  </si>
  <si>
    <t>2019.6.3</t>
  </si>
  <si>
    <t>G234国道(K372+486-K372+915、K373+750-K376+540)大修工程大修公路二级长度3.219km</t>
  </si>
  <si>
    <t>HNJH2019-021</t>
  </si>
  <si>
    <t>解飞</t>
  </si>
  <si>
    <t>G234国道(K357+226-K364+555)大修工程大修公路二级长度7.329km</t>
  </si>
  <si>
    <t>HNJH2019-022</t>
  </si>
  <si>
    <t>延庆区2019年乡村公路安全防护工程</t>
  </si>
  <si>
    <t>延庆区各乡镇生命安全防护工程，标志新建等设计内容</t>
  </si>
  <si>
    <t>国道通</t>
  </si>
  <si>
    <t>HNJH2019-025</t>
  </si>
  <si>
    <t>13488805779</t>
  </si>
  <si>
    <t>因2019年未入围，用国道通资质，管理费25%。</t>
  </si>
  <si>
    <t>2019年度张家湾镇乡村公路工程勘察设计采购项目（二标段）</t>
  </si>
  <si>
    <t>牛高路，乡村路三级3.598km</t>
  </si>
  <si>
    <t>HNJH2019-026L01S</t>
  </si>
  <si>
    <t>三支路，2.387km</t>
  </si>
  <si>
    <t>HNJH2019-026L02S</t>
  </si>
  <si>
    <t>后坨路，长0.43km，宽7m</t>
  </si>
  <si>
    <t>HNJH2019-026L03S</t>
  </si>
  <si>
    <t>走发改委资金，单独签订合同</t>
  </si>
  <si>
    <t>前街村南路，长2.486km，宽5-7.5m</t>
  </si>
  <si>
    <t>HNJH2019-026L04S</t>
  </si>
  <si>
    <t>五支路，长4.086km，宽4-6m</t>
  </si>
  <si>
    <t>HNJH2019-026L05S</t>
  </si>
  <si>
    <t>2019.10.22</t>
  </si>
  <si>
    <t>庙东侧路（陆辛庄北路），长0.795km，宽4-5m</t>
  </si>
  <si>
    <t>HNJH2019-026L06S</t>
  </si>
  <si>
    <t>大集周边路，长1.155km，宽4-5m</t>
  </si>
  <si>
    <t>HNJH2019-026L07S</t>
  </si>
  <si>
    <t>齐善庄南路</t>
  </si>
  <si>
    <t>HNJH2019-026L08S</t>
  </si>
  <si>
    <t>南姚园南路</t>
  </si>
  <si>
    <t>HNJH2019-026L09S</t>
  </si>
  <si>
    <t>2020年延庆区乡村公路建养工程勘察设计---2标</t>
  </si>
  <si>
    <t>2019.8.5</t>
  </si>
  <si>
    <t>HNJH2019-029L01S</t>
  </si>
  <si>
    <t>胡家营路长度1km</t>
  </si>
  <si>
    <t>HNJH2019-029L02S</t>
  </si>
  <si>
    <t>胡家营东路长度0.54km</t>
  </si>
  <si>
    <t>HNJH2019-029L03S</t>
  </si>
  <si>
    <t>延庆区大榆树镇小泥河路道路工程四级公路 主路2.2km,支路0.4km</t>
  </si>
  <si>
    <t>HNJH2019-029L10S</t>
  </si>
  <si>
    <t>通州区漷马路（K10+000-K16+000）中修工程</t>
  </si>
  <si>
    <t>中修，公路二级长度6km</t>
  </si>
  <si>
    <t>2017年大修改为中修，不重新招标，合同按照大修的合同。京宏-河南JH2019-011 补充协议签订金额295899.5，实际支付197613.60元</t>
  </si>
  <si>
    <t>通州区台湖镇西下营路(K0+000-K0+170)小修工程----17年转入</t>
  </si>
  <si>
    <t>小修，乡村路四级0.17m</t>
  </si>
  <si>
    <t>15801247391</t>
  </si>
  <si>
    <t>2017年项目已出图，但未施工，本次针对西下营路破损严重路段进行小修</t>
  </si>
  <si>
    <t>延庆区永元街大修工程</t>
  </si>
  <si>
    <t>2019.8.2</t>
  </si>
  <si>
    <t>长度2.258km</t>
  </si>
  <si>
    <t>HNJH2019-030</t>
  </si>
  <si>
    <t>张旭学</t>
  </si>
  <si>
    <t>13811589649</t>
  </si>
  <si>
    <t>因2019年未入围，用长安资质，管理费25%。以报销的方式回款。</t>
  </si>
  <si>
    <t>延庆区滨河北路延长线道路新建工程，新建，长度0.4km</t>
  </si>
  <si>
    <t>HNJH2019-031</t>
  </si>
  <si>
    <t>互相抵扣，比例调整为0.8</t>
  </si>
  <si>
    <t>通州区体育局2020年建设多功能球场工程设计</t>
  </si>
  <si>
    <t>篮球场地场地尺寸34m×18m;笼式多功能球场场地尺寸为36.6m×18.3m</t>
  </si>
  <si>
    <t>CJJH2019-035</t>
  </si>
  <si>
    <t>2020年延庆区普通公路生命安全防护工程勘察设计</t>
  </si>
  <si>
    <t>国道自己做通遗留项目</t>
  </si>
  <si>
    <t>兴阳线</t>
  </si>
  <si>
    <t>HNJH2019-039J01S</t>
  </si>
  <si>
    <t>分包国道通</t>
  </si>
  <si>
    <t>河东路</t>
  </si>
  <si>
    <t>HNJH2019-039J02S</t>
  </si>
  <si>
    <t>刘香路</t>
  </si>
  <si>
    <t>HNJH2019-039J03S</t>
  </si>
  <si>
    <t>2 0 2 0 年延庆区对不合格标线重新施划工程</t>
  </si>
  <si>
    <t>HNJH2019-039</t>
  </si>
  <si>
    <t>2020年延庆区普通公路路面、桥梁、隧道中小修工程勘察设计第1标---路面、桥梁</t>
  </si>
  <si>
    <t>兴阳线（K212+400-220+300）中修工程</t>
  </si>
  <si>
    <t>HNJH2019-040L01S</t>
  </si>
  <si>
    <t>路检+弯沉</t>
  </si>
  <si>
    <t>2020年延庆区道路小修工程</t>
  </si>
  <si>
    <t>HNJH2019-040L02S</t>
  </si>
  <si>
    <t>延庆区昌赤路（K49+000-K78+700）中修工程--（70.7-78.7）2级路</t>
  </si>
  <si>
    <t>HNJH2019-040L03S</t>
  </si>
  <si>
    <t>瑞通十九处+戴工</t>
  </si>
  <si>
    <t>路检+交桩</t>
  </si>
  <si>
    <t>延庆区康张路（K0+000-K0+500、K9+000-K12+975）中修工程</t>
  </si>
  <si>
    <t>HNJH2019-040L04S</t>
  </si>
  <si>
    <t>瑞通十九处+任永超</t>
  </si>
  <si>
    <t>延庆区旧小路（K0+000-K4+200、K7+060-K11+600）中修工程</t>
  </si>
  <si>
    <t>HNJH2019-040L05S</t>
  </si>
  <si>
    <t>较2019年差值</t>
  </si>
  <si>
    <t>较2020年差值</t>
  </si>
  <si>
    <t>2020.1.10</t>
  </si>
  <si>
    <t>安防一标段</t>
  </si>
  <si>
    <t>HNJH2020-001</t>
  </si>
  <si>
    <t>安防二标段</t>
  </si>
  <si>
    <t>通州区体育局2020年健身步道工程</t>
  </si>
  <si>
    <t>6.489公里</t>
  </si>
  <si>
    <t>HNJH2020-002</t>
  </si>
  <si>
    <t>北京市通州体育局</t>
  </si>
  <si>
    <t>王栋</t>
  </si>
  <si>
    <t>18610277462</t>
  </si>
  <si>
    <t>2020年延庆区普通公路路面、桥梁、隧道中小修工程第3标---隧道</t>
  </si>
  <si>
    <t>HNJH2020-003</t>
  </si>
  <si>
    <t>HNJH2020-004</t>
  </si>
  <si>
    <t>于伟</t>
  </si>
  <si>
    <t>13701025230</t>
  </si>
  <si>
    <t>HNJH2020-005</t>
  </si>
  <si>
    <t>燕山地区迎风南路、迎风街路域环境提升工程---燕山政府西环路</t>
  </si>
  <si>
    <t>慢行系统、景观绿化、公共交通、环境卫生、照明系统提升</t>
  </si>
  <si>
    <t>HNJH2020-008</t>
  </si>
  <si>
    <t>通州区乡村公路咨询</t>
  </si>
  <si>
    <t>编制《乡村公路示范路方案咨询报告》</t>
  </si>
  <si>
    <t>北京逸群</t>
  </si>
  <si>
    <t>YQJH2020-010</t>
  </si>
  <si>
    <t>北京市交通委员会通州分局</t>
  </si>
  <si>
    <t>编制《乡村公路大修工程设计指南》</t>
  </si>
  <si>
    <t>2020年延庆区妫川路等公路路域环境整治工程</t>
  </si>
  <si>
    <t>HNJH2020-012</t>
  </si>
  <si>
    <t>宁夏回族自治区交通运输综合执法监督局2020年迎国检项目施工图设计</t>
  </si>
  <si>
    <t>宁夏回族自治区交通运输综合执法监督局2020年迎国检项目对宁夏回族自治区交通运输综合执法监督局所辖银川分局、石嘴山分局、吴忠分局、中卫分局、固原分局下属治超检测站根据实际情况进行部分设施维修更换，包括更换检测车道票亭、检测车道岛头维修粉刷、指示标志标牌维修更换、检测大棚线路维护等；对部分站点进行改造包括：对黄羊滩治超检测站西侧检测车道出入口进行延长拓宽改造；在水洞沟治超检测站增装计重地磅1台；在银巴治超检测站建设3000㎡固定卸载场，卸载场安装静态汽车衡称重复检设备1套；在关马湖治超检测站道口以南新修一条与G344线斜交的货车引道；国道307盐池治超检测站更换计重地磅2台；将S301线石炭井沟口超限检测站搬迁至原S301线石炭井收费站。</t>
  </si>
  <si>
    <t>HNJH2020-013</t>
  </si>
  <si>
    <t>李文博</t>
  </si>
  <si>
    <t>2021年房山区普通公路养护工程第3标段：2021年房山区班陈路、紫码路修复养护工程勘察设计</t>
  </si>
  <si>
    <t>班陈路起点为京昆线，终点陈家台，全长5.583km。K0+000-K0+268、K0+514-K5+583段技术等级为三级公路；K0+268-K0+514段技术等级为二级公路。本次设计段落为班陈路全段。</t>
  </si>
  <si>
    <t>HNJH2020-015</t>
  </si>
  <si>
    <t>中交路星</t>
  </si>
  <si>
    <t>紫码路本次设计段落为K0+000+K4+000，设计长度4km。其中K2+904-K4+000技术等级为三级公路外，其余设计路段为二级公路。</t>
  </si>
  <si>
    <t>房东路污水管线回填道路恢复工程</t>
  </si>
  <si>
    <t>路面恢复总面积为3215.4㎡</t>
  </si>
  <si>
    <t>HNJH2020-016</t>
  </si>
  <si>
    <t>北京市房山区河北镇人民政府</t>
  </si>
  <si>
    <t>南海子北环路污水管线工程</t>
  </si>
  <si>
    <t>污水管线700m</t>
  </si>
  <si>
    <t>北京专业院</t>
  </si>
  <si>
    <t>ZYJH2020-017</t>
  </si>
  <si>
    <t>北京国苑投资有限公司</t>
  </si>
  <si>
    <t>侯光</t>
  </si>
  <si>
    <t>13910665470</t>
  </si>
  <si>
    <t>暂缓</t>
  </si>
  <si>
    <t>2020年通州区台湖镇乡村公路安全生命防护工程 ---台东路、铺外二路、大地路</t>
  </si>
  <si>
    <t>新建护栏约计890m</t>
  </si>
  <si>
    <t>HNJH2020-018</t>
  </si>
  <si>
    <t>北京市通州区台湖公路管理站</t>
  </si>
  <si>
    <t>李立明</t>
  </si>
  <si>
    <t>13366736778</t>
  </si>
  <si>
    <t>2021年通州区普通公路、桥梁养护工程第1标段勘察设计：2021 年通州区柏德路(K3+450-K12+561) 修复养护工程勘察设计</t>
  </si>
  <si>
    <t>现况道路K3+450-K9+130 段为二级公路，路基横断面为一幅路，路面宽12.5(16)米，路基宽14.5(20)米。K9+130-K12+561 道路等级为三级公路，路基横断面为一幅路，路面宽7.0 米，路基宽9.0 米，全长9.111 公里</t>
  </si>
  <si>
    <t>HNJH2020-019</t>
  </si>
  <si>
    <t>王晓强</t>
  </si>
  <si>
    <t>13501231567</t>
  </si>
  <si>
    <t>国网北京房山供电公司电力管线回填</t>
  </si>
  <si>
    <t xml:space="preserve">国网北京房山供电公司迎风地区1#开闭站（三供一业）配套外电源改造工程-道路恢复工程  </t>
  </si>
  <si>
    <t>HNJH2020-020</t>
  </si>
  <si>
    <t>国网北京房山供电公司</t>
  </si>
  <si>
    <t>刘睿轩</t>
  </si>
  <si>
    <t>15810458298</t>
  </si>
  <si>
    <t>国网北京房山供电公司迎风地区2#开闭站（三供一业）配套外电源改造工程--道路恢复工程</t>
  </si>
  <si>
    <t>国网北京房山供电公司东风地区2#开闭站（三供一业）配套外电源改造工程--道路恢复工程</t>
  </si>
  <si>
    <t>国网北京房山供电公司东风地区1#开闭站（三供一业）配套外电源改造工程--道路恢复工程</t>
  </si>
  <si>
    <t>国网北京房山供电公司富燕新村区开闭站（三供一业）配套外电源改造工程--道路恢复工程</t>
  </si>
  <si>
    <t>房山区G108（K34+300-K42+000）预防性养护工程勘察设计</t>
  </si>
  <si>
    <t>预养</t>
  </si>
  <si>
    <t>HNJH2020-021</t>
  </si>
  <si>
    <t>房东路燃气管线回填道路恢复工程</t>
  </si>
  <si>
    <t>440平米</t>
  </si>
  <si>
    <t>HNJH2020-022</t>
  </si>
  <si>
    <t>2021年普通公路水毁恢复工程</t>
  </si>
  <si>
    <t>HNJH2021-013</t>
  </si>
  <si>
    <t>给现金。5个点倒帐费。</t>
  </si>
  <si>
    <t>城建亚泰</t>
  </si>
  <si>
    <t>建筑设计</t>
  </si>
  <si>
    <t>四宝路水毁恢复工程</t>
    <phoneticPr fontId="37" type="noConversion"/>
  </si>
  <si>
    <t>2021年延庆区普通公路路面、桥梁、隧道中小修工程勘察设计第1标段：2021年延庆区普通公路路面中小修工程勘察设计</t>
    <phoneticPr fontId="37" type="noConversion"/>
  </si>
  <si>
    <t>2017年通州区年乡村公路安全生命防护工程</t>
    <phoneticPr fontId="37" type="noConversion"/>
  </si>
  <si>
    <t>HNJH2022-001</t>
    <phoneticPr fontId="37" type="noConversion"/>
  </si>
  <si>
    <t>HNJH2022-002</t>
  </si>
  <si>
    <t>2022年重大义务植树活动南火垡植树区域内道路修复工程</t>
    <phoneticPr fontId="37" type="noConversion"/>
  </si>
  <si>
    <t>HNJH2022-004</t>
  </si>
  <si>
    <t>HNJH2022-005</t>
  </si>
  <si>
    <t>HNJH2022-006</t>
  </si>
  <si>
    <t>HNJH2022-008</t>
  </si>
  <si>
    <t>位于张家湾镇，8m钢筋混凝土现浇板</t>
    <phoneticPr fontId="37" type="noConversion"/>
  </si>
  <si>
    <t>2021年水毁抢通工程勘察设计</t>
    <phoneticPr fontId="37" type="noConversion"/>
  </si>
  <si>
    <t>4工区（走河南交规院），长于路支线永久导改工程</t>
    <phoneticPr fontId="37" type="noConversion"/>
  </si>
  <si>
    <t>2022年延庆区普通公路路面、桥梁、隧道中修工程、小修维护及应急抢险工程、绿化工程、交通工程勘察设计第1标段</t>
    <phoneticPr fontId="37" type="noConversion"/>
  </si>
  <si>
    <t>2022年大兴区普通公路中修、桥梁中修、小修维护及应急抢险工程、绿化工程和交通工程勘察设计第4标段</t>
    <phoneticPr fontId="37" type="noConversion"/>
  </si>
  <si>
    <t>北京市交通委员会大兴分局</t>
    <phoneticPr fontId="37" type="noConversion"/>
  </si>
  <si>
    <t>解鹏</t>
    <phoneticPr fontId="37" type="noConversion"/>
  </si>
  <si>
    <t>刑工</t>
    <phoneticPr fontId="37" type="noConversion"/>
  </si>
  <si>
    <t>13810992745</t>
    <phoneticPr fontId="37" type="noConversion"/>
  </si>
  <si>
    <t>13381203969</t>
    <phoneticPr fontId="37" type="noConversion"/>
  </si>
  <si>
    <t>朱家垡西路（乡村路四级0.506km）</t>
    <phoneticPr fontId="37" type="noConversion"/>
  </si>
  <si>
    <t>垛子路（乡村路四级1.045km）</t>
    <phoneticPr fontId="37" type="noConversion"/>
  </si>
  <si>
    <t>张湾公路站</t>
    <phoneticPr fontId="37" type="noConversion"/>
  </si>
  <si>
    <t>卢世茹</t>
    <phoneticPr fontId="37" type="noConversion"/>
  </si>
  <si>
    <t>13520175981</t>
    <phoneticPr fontId="37" type="noConversion"/>
  </si>
  <si>
    <t>王新星</t>
    <phoneticPr fontId="37" type="noConversion"/>
  </si>
  <si>
    <t>北京市交通委员会延庆分局</t>
    <phoneticPr fontId="37" type="noConversion"/>
  </si>
  <si>
    <t>王伟</t>
    <phoneticPr fontId="37" type="noConversion"/>
  </si>
  <si>
    <t>房山区西潞街道东沿村集体土地租赁住房项目市政工程（工程设计、地形测绘）</t>
    <phoneticPr fontId="37" type="noConversion"/>
  </si>
  <si>
    <t>13801288357</t>
    <phoneticPr fontId="37" type="noConversion"/>
  </si>
  <si>
    <t>刘素良</t>
    <phoneticPr fontId="37" type="noConversion"/>
  </si>
  <si>
    <t>测绘</t>
    <phoneticPr fontId="37" type="noConversion"/>
  </si>
  <si>
    <t>取芯</t>
    <phoneticPr fontId="37" type="noConversion"/>
  </si>
  <si>
    <t>测绘沿用2016年成果</t>
    <phoneticPr fontId="37" type="noConversion"/>
  </si>
  <si>
    <t>延庆区外石路（K0+395-K8+035）还建修复工程</t>
    <phoneticPr fontId="37" type="noConversion"/>
  </si>
  <si>
    <t>永艾路，5.733km，6m</t>
    <phoneticPr fontId="37" type="noConversion"/>
  </si>
  <si>
    <t>千小路，6km，6m</t>
    <phoneticPr fontId="37" type="noConversion"/>
  </si>
  <si>
    <t>沈韩路</t>
    <phoneticPr fontId="37" type="noConversion"/>
  </si>
  <si>
    <t>2021年房山区普通公路养护工程勘察设计（查）设计第1标段---2021年房山区普通公路交通工程勘察设计</t>
    <phoneticPr fontId="37" type="noConversion"/>
  </si>
  <si>
    <t>2021年房山区公路交通安全隐患治理工程</t>
    <phoneticPr fontId="37" type="noConversion"/>
  </si>
  <si>
    <t>2019年通州区台湖镇乡村公路（4条路）</t>
    <phoneticPr fontId="37" type="noConversion"/>
  </si>
  <si>
    <t>HNJH2021-008-4</t>
    <phoneticPr fontId="37" type="noConversion"/>
  </si>
  <si>
    <t>HNJH2021-008-5</t>
    <phoneticPr fontId="37" type="noConversion"/>
  </si>
  <si>
    <t>京雄高速项目经理部</t>
    <phoneticPr fontId="37" type="noConversion"/>
  </si>
  <si>
    <t>付小路边沟修复工程，200米</t>
    <phoneticPr fontId="37" type="noConversion"/>
  </si>
  <si>
    <t>第2标段：大兴区国道106交通综合治理工程勘察设计</t>
    <phoneticPr fontId="37" type="noConversion"/>
  </si>
  <si>
    <t>第4标段G108（K34+300-K68+000）修复养护工程勘察设计</t>
    <phoneticPr fontId="37" type="noConversion"/>
  </si>
  <si>
    <t>第2标段琉陶路（K0+000-K11+319）修复养护工程勘察设计</t>
    <phoneticPr fontId="37" type="noConversion"/>
  </si>
  <si>
    <t>北京市交通委员会房山分局</t>
    <phoneticPr fontId="37" type="noConversion"/>
  </si>
  <si>
    <t>陈友来</t>
    <phoneticPr fontId="37" type="noConversion"/>
  </si>
  <si>
    <t>刘然</t>
    <phoneticPr fontId="37" type="noConversion"/>
  </si>
  <si>
    <t>长度600米</t>
    <phoneticPr fontId="37" type="noConversion"/>
  </si>
  <si>
    <t>2021年延庆区城东一次供热管网改造工程—妫川路（庆园街-庆隆街）热力管线回填道路恢复工程</t>
    <phoneticPr fontId="37" type="noConversion"/>
  </si>
  <si>
    <t>城市主干路管线掘路回填338米</t>
    <phoneticPr fontId="37" type="noConversion"/>
  </si>
  <si>
    <t>北火垡西路（新增）0.76km</t>
    <phoneticPr fontId="37" type="noConversion"/>
  </si>
  <si>
    <t>外高路（新增），0.509km</t>
    <phoneticPr fontId="37" type="noConversion"/>
  </si>
  <si>
    <t>前田路东段，0.9005km</t>
    <phoneticPr fontId="37" type="noConversion"/>
  </si>
  <si>
    <t>任永超</t>
    <phoneticPr fontId="37" type="noConversion"/>
  </si>
  <si>
    <t>2020年延庆路网外场设备更新工程</t>
    <phoneticPr fontId="37" type="noConversion"/>
  </si>
  <si>
    <t>兴阳线、京青线、滦赤路、安四路、妫川路5条道路上更新15套设备，其中更新超声波交调设备8套，可变情报板设备6套，视频监控设备1套，在京青线拆除2套微波交调设备。</t>
    <phoneticPr fontId="37" type="noConversion"/>
  </si>
  <si>
    <t>HNJH2022-003-01</t>
    <phoneticPr fontId="37" type="noConversion"/>
  </si>
  <si>
    <t>HNJH2022-003-02</t>
  </si>
  <si>
    <t>HNJH2022-003-03</t>
  </si>
  <si>
    <t>HNJH2022-003-04</t>
  </si>
  <si>
    <t>HNJH2022-003-05</t>
  </si>
  <si>
    <t>HNJH2022-003-06</t>
  </si>
  <si>
    <t>祁付路，1.969km</t>
    <phoneticPr fontId="37" type="noConversion"/>
  </si>
  <si>
    <t>东岔路，3km</t>
    <phoneticPr fontId="37" type="noConversion"/>
  </si>
  <si>
    <t>河北镇棚户区改造临时污水管线工程</t>
    <phoneticPr fontId="37" type="noConversion"/>
  </si>
  <si>
    <t>通州区通武线大修工程</t>
    <phoneticPr fontId="37" type="noConversion"/>
  </si>
  <si>
    <t>大修，K1106+773-K1111+175</t>
    <phoneticPr fontId="37" type="noConversion"/>
  </si>
  <si>
    <t>延庆区世园会周边道路标志改造工程</t>
    <phoneticPr fontId="37" type="noConversion"/>
  </si>
  <si>
    <t>HNHY2019-008</t>
    <phoneticPr fontId="37" type="noConversion"/>
  </si>
  <si>
    <t>HNHY2019-012</t>
    <phoneticPr fontId="37" type="noConversion"/>
  </si>
  <si>
    <t>HNJH2022-009</t>
    <phoneticPr fontId="37" type="noConversion"/>
  </si>
  <si>
    <t>107 国道临时开口工程设计</t>
    <phoneticPr fontId="37" type="noConversion"/>
  </si>
  <si>
    <t>公路三级，长度11.139公里</t>
    <phoneticPr fontId="37" type="noConversion"/>
  </si>
  <si>
    <t>公路二级，长度34公里</t>
    <phoneticPr fontId="37" type="noConversion"/>
  </si>
  <si>
    <t>曹立东</t>
    <phoneticPr fontId="37" type="noConversion"/>
  </si>
  <si>
    <t>杨建东</t>
    <phoneticPr fontId="37" type="noConversion"/>
  </si>
  <si>
    <t>地勘</t>
    <phoneticPr fontId="37" type="noConversion"/>
  </si>
  <si>
    <t>2019年张家湾镇乡村公路储备项目第一批</t>
    <phoneticPr fontId="37" type="noConversion"/>
  </si>
  <si>
    <t>2020年延庆区普通公路大修及桥梁改造工程勘察设计1标段---2020年延庆区G234大修工程(K187+244-K209+113）</t>
    <phoneticPr fontId="37" type="noConversion"/>
  </si>
  <si>
    <t>航天和兴军工设备研发生产基地项目</t>
    <phoneticPr fontId="37" type="noConversion"/>
  </si>
  <si>
    <t>项目占地面积约13265万平米，容积率1.99。项目建筑面积31756万平米（其中地下面积5300万平米），主要建设总装、总测车间、科研楼、办公楼</t>
    <phoneticPr fontId="37" type="noConversion"/>
  </si>
  <si>
    <t>二级公路，长度6k</t>
    <phoneticPr fontId="37" type="noConversion"/>
  </si>
  <si>
    <t>中铁五局</t>
    <phoneticPr fontId="37" type="noConversion"/>
  </si>
  <si>
    <t>HXJH2018-007</t>
    <phoneticPr fontId="37" type="noConversion"/>
  </si>
  <si>
    <t>可研费（元）</t>
    <phoneticPr fontId="37" type="noConversion"/>
  </si>
  <si>
    <t>审计信息</t>
    <phoneticPr fontId="37" type="noConversion"/>
  </si>
  <si>
    <t>经营信息</t>
    <phoneticPr fontId="37" type="noConversion"/>
  </si>
  <si>
    <t>甲方单位</t>
    <phoneticPr fontId="37" type="noConversion"/>
  </si>
  <si>
    <r>
      <t>概算信息</t>
    </r>
    <r>
      <rPr>
        <b/>
        <sz val="10"/>
        <color rgb="FFFF0000"/>
        <rFont val="华文仿宋"/>
        <family val="3"/>
        <charset val="134"/>
      </rPr>
      <t>（估算）</t>
    </r>
  </si>
  <si>
    <r>
      <t>概算信息</t>
    </r>
    <r>
      <rPr>
        <b/>
        <sz val="10"/>
        <color rgb="FFFF0000"/>
        <rFont val="华文仿宋"/>
        <family val="3"/>
        <charset val="134"/>
      </rPr>
      <t>（估算）</t>
    </r>
    <phoneticPr fontId="37" type="noConversion"/>
  </si>
  <si>
    <t>甲方信息</t>
    <phoneticPr fontId="37" type="noConversion"/>
  </si>
  <si>
    <t>合同/补充协议额（元）</t>
    <phoneticPr fontId="37" type="noConversion"/>
  </si>
  <si>
    <t>应支额（元）</t>
    <phoneticPr fontId="37" type="noConversion"/>
  </si>
  <si>
    <t>补充协议额（元）</t>
    <phoneticPr fontId="37" type="noConversion"/>
  </si>
  <si>
    <t>支付信息</t>
    <phoneticPr fontId="37" type="noConversion"/>
  </si>
  <si>
    <t>未收金额（元）</t>
    <phoneticPr fontId="37" type="noConversion"/>
  </si>
  <si>
    <t>应收额（元）</t>
    <phoneticPr fontId="37" type="noConversion"/>
  </si>
  <si>
    <t>公司结余         （元）</t>
    <phoneticPr fontId="37" type="noConversion"/>
  </si>
  <si>
    <t>水源路环境提升工程（二标段）</t>
    <phoneticPr fontId="37" type="noConversion"/>
  </si>
  <si>
    <t>水源路4l</t>
    <phoneticPr fontId="37" type="noConversion"/>
  </si>
  <si>
    <t>路检+弯沉</t>
    <phoneticPr fontId="37" type="noConversion"/>
  </si>
  <si>
    <t>甲方支付信息</t>
    <phoneticPr fontId="37" type="noConversion"/>
  </si>
  <si>
    <t>实收金额（元）</t>
    <phoneticPr fontId="37" type="noConversion"/>
  </si>
  <si>
    <t>公司收支信息</t>
    <phoneticPr fontId="37" type="noConversion"/>
  </si>
  <si>
    <t>收款信息</t>
    <phoneticPr fontId="37" type="noConversion"/>
  </si>
  <si>
    <t>HNJH2018-002</t>
    <phoneticPr fontId="37" type="noConversion"/>
  </si>
  <si>
    <t xml:space="preserve">通州公路局 </t>
    <phoneticPr fontId="37" type="noConversion"/>
  </si>
  <si>
    <t>通州公路局</t>
    <phoneticPr fontId="37" type="noConversion"/>
  </si>
  <si>
    <t>张伟</t>
    <phoneticPr fontId="37" type="noConversion"/>
  </si>
  <si>
    <t>13439987630</t>
    <phoneticPr fontId="37" type="noConversion"/>
  </si>
  <si>
    <t>新机场高速公路地下综合管廊（南四环~新机场）工程一期土建施工交通导行工程</t>
    <phoneticPr fontId="37" type="noConversion"/>
  </si>
  <si>
    <t>帮忙刘军达</t>
    <phoneticPr fontId="37" type="noConversion"/>
  </si>
  <si>
    <t>HNJH2018-013</t>
    <phoneticPr fontId="37" type="noConversion"/>
  </si>
  <si>
    <t>中铁一局</t>
    <phoneticPr fontId="37" type="noConversion"/>
  </si>
  <si>
    <t>刘军达</t>
    <phoneticPr fontId="37" type="noConversion"/>
  </si>
  <si>
    <t>18518335628</t>
    <phoneticPr fontId="37" type="noConversion"/>
  </si>
  <si>
    <t>刘君达</t>
    <phoneticPr fontId="37" type="noConversion"/>
  </si>
  <si>
    <t>设计</t>
    <phoneticPr fontId="37" type="noConversion"/>
  </si>
  <si>
    <t>2019年通州区台湖镇乡村公路（7条路）</t>
    <phoneticPr fontId="37" type="noConversion"/>
  </si>
  <si>
    <t>吕工</t>
    <phoneticPr fontId="37" type="noConversion"/>
  </si>
  <si>
    <t>2019年通州区张家湾镇(第三批）乡村公路（6条路）</t>
    <phoneticPr fontId="37" type="noConversion"/>
  </si>
  <si>
    <t>房山区河北镇项目-房东路</t>
    <phoneticPr fontId="37" type="noConversion"/>
  </si>
  <si>
    <t>通州区2019年公路桥梁改建工程—十仓桥设计</t>
    <phoneticPr fontId="37" type="noConversion"/>
  </si>
  <si>
    <t>HNJH2018-017</t>
    <phoneticPr fontId="37" type="noConversion"/>
  </si>
  <si>
    <t>HNJH2018-016</t>
    <phoneticPr fontId="37" type="noConversion"/>
  </si>
  <si>
    <t>潘宝龙</t>
    <phoneticPr fontId="37" type="noConversion"/>
  </si>
  <si>
    <t>前苇沟组团棚户区改造土地开发项目平衡资金地块道路工程</t>
    <phoneticPr fontId="37" type="noConversion"/>
  </si>
  <si>
    <t>7条支路,4.87km</t>
    <phoneticPr fontId="37" type="noConversion"/>
  </si>
  <si>
    <t>ZYJH2018-018</t>
    <phoneticPr fontId="37" type="noConversion"/>
  </si>
  <si>
    <t>北京昆泰嘉恒房地产开发有限公司</t>
    <phoneticPr fontId="37" type="noConversion"/>
  </si>
  <si>
    <t>常工</t>
    <phoneticPr fontId="37" type="noConversion"/>
  </si>
  <si>
    <t>18701639618</t>
    <phoneticPr fontId="37" type="noConversion"/>
  </si>
  <si>
    <t>房山区佛子庄乡山川村帮扶项目工程</t>
    <phoneticPr fontId="37" type="noConversion"/>
  </si>
  <si>
    <t>滚水河、水库、凤凰山基地</t>
    <phoneticPr fontId="37" type="noConversion"/>
  </si>
  <si>
    <t>CJJH2018-019</t>
    <phoneticPr fontId="37" type="noConversion"/>
  </si>
  <si>
    <t>北京市政路桥管理养护集团有限公司</t>
    <phoneticPr fontId="37" type="noConversion"/>
  </si>
  <si>
    <t>赵忠鑫</t>
    <phoneticPr fontId="37" type="noConversion"/>
  </si>
  <si>
    <t>13581861007</t>
    <phoneticPr fontId="37" type="noConversion"/>
  </si>
  <si>
    <t>通州区体育局建设球类场地项目</t>
    <phoneticPr fontId="37" type="noConversion"/>
  </si>
  <si>
    <t>篮球场30块，笼式多功能球场17块，门球球场3块；共计31384.26㎡</t>
    <phoneticPr fontId="37" type="noConversion"/>
  </si>
  <si>
    <t>CJJH2018-020</t>
    <phoneticPr fontId="37" type="noConversion"/>
  </si>
  <si>
    <t>通州体育局</t>
    <phoneticPr fontId="37" type="noConversion"/>
  </si>
  <si>
    <t>吕海龙</t>
    <phoneticPr fontId="37" type="noConversion"/>
  </si>
  <si>
    <t>13910628276</t>
    <phoneticPr fontId="37" type="noConversion"/>
  </si>
  <si>
    <t>清水湾小区南侧代征绿地建设工程</t>
    <phoneticPr fontId="37" type="noConversion"/>
  </si>
  <si>
    <t>密云第七小学外代征绿地建设工程</t>
    <phoneticPr fontId="37" type="noConversion"/>
  </si>
  <si>
    <t>3440㎡</t>
    <phoneticPr fontId="37" type="noConversion"/>
  </si>
  <si>
    <t>4745㎡</t>
    <phoneticPr fontId="37" type="noConversion"/>
  </si>
  <si>
    <t>JNJH2018-021</t>
    <phoneticPr fontId="37" type="noConversion"/>
  </si>
  <si>
    <t>JNJH2018-022</t>
    <phoneticPr fontId="37" type="noConversion"/>
  </si>
  <si>
    <t>园林中心</t>
    <phoneticPr fontId="37" type="noConversion"/>
  </si>
  <si>
    <t>王辉</t>
    <phoneticPr fontId="37" type="noConversion"/>
  </si>
  <si>
    <t>13681368593</t>
    <phoneticPr fontId="37" type="noConversion"/>
  </si>
  <si>
    <t>大修，K1111+175-K1115+400</t>
    <phoneticPr fontId="37" type="noConversion"/>
  </si>
  <si>
    <t>2019年通州区台湖镇乡村公路（2条路）</t>
    <phoneticPr fontId="37" type="noConversion"/>
  </si>
  <si>
    <t>华西</t>
    <phoneticPr fontId="37" type="noConversion"/>
  </si>
  <si>
    <t>HXJH2022-007</t>
    <phoneticPr fontId="37" type="noConversion"/>
  </si>
  <si>
    <t>序号</t>
    <phoneticPr fontId="37" type="noConversion"/>
  </si>
  <si>
    <t>年度</t>
    <phoneticPr fontId="37" type="noConversion"/>
  </si>
  <si>
    <t>应支额</t>
    <phoneticPr fontId="37" type="noConversion"/>
  </si>
  <si>
    <t>支付额</t>
    <phoneticPr fontId="37" type="noConversion"/>
  </si>
  <si>
    <t>未支额</t>
    <phoneticPr fontId="37" type="noConversion"/>
  </si>
  <si>
    <t>应收额</t>
    <phoneticPr fontId="37" type="noConversion"/>
  </si>
  <si>
    <t>已收额</t>
    <phoneticPr fontId="37" type="noConversion"/>
  </si>
  <si>
    <t>未收额</t>
    <phoneticPr fontId="37" type="noConversion"/>
  </si>
  <si>
    <t>公司信息</t>
    <phoneticPr fontId="37" type="noConversion"/>
  </si>
  <si>
    <t>收入信息</t>
    <phoneticPr fontId="37" type="noConversion"/>
  </si>
  <si>
    <t>支出信息</t>
    <phoneticPr fontId="37" type="noConversion"/>
  </si>
  <si>
    <t>已支额</t>
    <phoneticPr fontId="37" type="noConversion"/>
  </si>
  <si>
    <t>年度汇总表</t>
    <phoneticPr fontId="37" type="noConversion"/>
  </si>
  <si>
    <t>合计</t>
    <phoneticPr fontId="37" type="noConversion"/>
  </si>
  <si>
    <t>解远飞</t>
    <phoneticPr fontId="37" type="noConversion"/>
  </si>
  <si>
    <t>JNJH2017-026</t>
    <phoneticPr fontId="37" type="noConversion"/>
  </si>
  <si>
    <t>2020.6含戴工做</t>
    <phoneticPr fontId="37" type="noConversion"/>
  </si>
  <si>
    <t>延庆区昌赤路（K49+000-K78+700）中修工程</t>
    <phoneticPr fontId="37" type="noConversion"/>
  </si>
  <si>
    <t>70.7-78.7自己做，49-53戴工做</t>
    <phoneticPr fontId="37" type="noConversion"/>
  </si>
  <si>
    <t>延庆区京银线、G234、滦赤路、四宝路、北西路大修工程-第四合同段（四宝路）勘察设计---延庆区四宝路（K0+000-K19+300)大修工程</t>
    <phoneticPr fontId="37" type="noConversion"/>
  </si>
  <si>
    <t>前期费包含勘察设计两项费用。</t>
    <phoneticPr fontId="37" type="noConversion"/>
  </si>
  <si>
    <t>由于设计重大失误，不发生产奖金</t>
    <phoneticPr fontId="37" type="noConversion"/>
  </si>
  <si>
    <t>北京市2021年延庆区G234、沈韩路、千小路预防性养护工程2标段勘察设计工程</t>
    <phoneticPr fontId="37" type="noConversion"/>
  </si>
  <si>
    <t>2020年延庆区乡村公路建养工程勘察设计---2标</t>
    <phoneticPr fontId="37" type="noConversion"/>
  </si>
  <si>
    <t>旧北路长度2.53km</t>
    <phoneticPr fontId="37" type="noConversion"/>
  </si>
  <si>
    <t>大兴公路分局 2023 年路网信息采集与发布设施建设、更新、治超专项工程及其他路网建设项目</t>
    <phoneticPr fontId="37" type="noConversion"/>
  </si>
  <si>
    <t>河南交规院</t>
    <phoneticPr fontId="37" type="noConversion"/>
  </si>
  <si>
    <t>2023.1.19</t>
    <phoneticPr fontId="37" type="noConversion"/>
  </si>
  <si>
    <t>测量</t>
    <phoneticPr fontId="37" type="noConversion"/>
  </si>
  <si>
    <t>2023 年延庆区普通公路路面、桥梁、隧道修复性养护（中修）第1标段</t>
    <phoneticPr fontId="37" type="noConversion"/>
  </si>
  <si>
    <t>HNJH2023-002</t>
  </si>
  <si>
    <t>双埠头南路</t>
    <phoneticPr fontId="37" type="noConversion"/>
  </si>
  <si>
    <t>2023年大兴区普通公路和桥梁修复性养护（中修）工程、维护及应急抢险工程、交通工程、绿化工程勘察设计以及独柱墩桥抗倾覆验算第4标段---绿化</t>
    <phoneticPr fontId="37" type="noConversion"/>
  </si>
  <si>
    <t>HNJH2023-005</t>
    <phoneticPr fontId="37" type="noConversion"/>
  </si>
  <si>
    <t>房山区河北镇房东路（水泥一厂中路～镇界）道路工程</t>
    <phoneticPr fontId="37" type="noConversion"/>
  </si>
  <si>
    <t>2018年河北镇项目转入</t>
    <phoneticPr fontId="37" type="noConversion"/>
  </si>
  <si>
    <t>7工区（走京宏）</t>
    <phoneticPr fontId="37" type="noConversion"/>
  </si>
  <si>
    <t>房山区农村污水治理工程（官道等13村截污排污）道路恢复工程</t>
    <phoneticPr fontId="37" type="noConversion"/>
  </si>
  <si>
    <t>2018转入</t>
    <phoneticPr fontId="37" type="noConversion"/>
  </si>
  <si>
    <t>共计5个村需要进行道路恢复，分别是北尚乐村、官道村、五侯村、晓幼营村、岳各庄村，涉及恢复道路分别为房易路、南土路、良常路、岳琉路、阎吕路，长度合计2.317公里。</t>
    <phoneticPr fontId="37" type="noConversion"/>
  </si>
  <si>
    <t>2023年大兴区普通公路和桥梁修复性养护（中修）工程、维护及应急抢险工程、交通工程、绿化工程勘察设计以及独柱墩桥抗倾覆验算第5标段-交通</t>
    <phoneticPr fontId="37" type="noConversion"/>
  </si>
  <si>
    <t>延庆新城小营、石河营棚改项目配套雨水下游工程
延琉路（龙顺路~妫川路）雨水管线回填道路恢复工程</t>
    <phoneticPr fontId="37" type="noConversion"/>
  </si>
  <si>
    <t>HNJH2023-008</t>
    <phoneticPr fontId="37" type="noConversion"/>
  </si>
  <si>
    <t>HNJH2023-007-01</t>
    <phoneticPr fontId="37" type="noConversion"/>
  </si>
  <si>
    <t>G230通武线（京开东辅路-小龙河）路中护栏提升专项</t>
    <phoneticPr fontId="37" type="noConversion"/>
  </si>
  <si>
    <t>2023年大兴区公路安全设施精细化提升工程</t>
    <phoneticPr fontId="37" type="noConversion"/>
  </si>
  <si>
    <t>HNJH2023-007-02</t>
    <phoneticPr fontId="37" type="noConversion"/>
  </si>
  <si>
    <t>张哲</t>
    <phoneticPr fontId="37" type="noConversion"/>
  </si>
  <si>
    <t>15533018887</t>
    <phoneticPr fontId="37" type="noConversion"/>
  </si>
  <si>
    <t>4工区（走河南交规院），长阳路导改</t>
    <phoneticPr fontId="37" type="noConversion"/>
  </si>
  <si>
    <t>2024年延庆区普通公路养护工程勘察设计第1标段</t>
    <phoneticPr fontId="37" type="noConversion"/>
  </si>
  <si>
    <t>HNJH2023-009</t>
    <phoneticPr fontId="37" type="noConversion"/>
  </si>
  <si>
    <t>滦赤路（K123+000-K128+000、K137+050-K139+000）预防性养护工程</t>
    <phoneticPr fontId="37" type="noConversion"/>
  </si>
  <si>
    <t>滨河南路（K1+000-K8+000））预防性养护工程</t>
    <phoneticPr fontId="37" type="noConversion"/>
  </si>
  <si>
    <t>2024年房山区普通公路养护工程勘察设计（第1、2、3、5标段）-2标段</t>
    <phoneticPr fontId="37" type="noConversion"/>
  </si>
  <si>
    <t>大件路（K0+000-K10+842）预防养护，勘察设计段落为K0+000-K10+842，全长约10.8公里，一级公路</t>
    <phoneticPr fontId="37" type="noConversion"/>
  </si>
  <si>
    <t>兴良路（K8+000-K10+253）预防养护，勘察设计段落为K8+000-K10+253，全长约2.3公里，一级公路</t>
    <phoneticPr fontId="37" type="noConversion"/>
  </si>
  <si>
    <t>通州区宋庄镇2024年乡村公路大修工程勘察设计服务项目</t>
    <phoneticPr fontId="37" type="noConversion"/>
  </si>
  <si>
    <t>特希达</t>
    <phoneticPr fontId="37" type="noConversion"/>
  </si>
  <si>
    <t>TXDJH2023-003</t>
    <phoneticPr fontId="37" type="noConversion"/>
  </si>
  <si>
    <t>2024年大兴区京广线（K26+705-K34+880）预防性养护工程</t>
    <phoneticPr fontId="37" type="noConversion"/>
  </si>
  <si>
    <t>京广线（K26+705-K34+880）预防性养护工程，位于北京市大兴区，本次预防性养护段落北起庞魏路北侧（K26+705），南至黄垡桥（K34+880），技术等级为一级公路</t>
    <phoneticPr fontId="37" type="noConversion"/>
  </si>
  <si>
    <t>HNJH2023-010</t>
    <phoneticPr fontId="37" type="noConversion"/>
  </si>
  <si>
    <t>解飞</t>
    <phoneticPr fontId="37" type="noConversion"/>
  </si>
  <si>
    <t>HNJH2023-011</t>
    <phoneticPr fontId="37" type="noConversion"/>
  </si>
  <si>
    <t>HNJH2023-001J01</t>
    <phoneticPr fontId="37" type="noConversion"/>
  </si>
  <si>
    <t>HNJH2023-001J02</t>
  </si>
  <si>
    <t>2023年大兴公路分局普通公路治超专项工程</t>
    <phoneticPr fontId="37" type="noConversion"/>
  </si>
  <si>
    <t>2023年大兴公路分局普通公路路网设施工程</t>
    <phoneticPr fontId="37" type="noConversion"/>
  </si>
  <si>
    <t>团桂路，三级公路，1.802km</t>
    <phoneticPr fontId="37" type="noConversion"/>
  </si>
  <si>
    <t>城市主干路，2.3km</t>
    <phoneticPr fontId="37" type="noConversion"/>
  </si>
  <si>
    <t>2023年延庆区京青线等15条道路灾后恢复重建工程（分五册出图）</t>
    <phoneticPr fontId="37" type="noConversion"/>
  </si>
  <si>
    <t>HNJH2023-012</t>
    <phoneticPr fontId="37" type="noConversion"/>
  </si>
  <si>
    <t>新科广场（原聚龙市场）升级改造项目（设计）---地下通道工程</t>
    <phoneticPr fontId="37" type="noConversion"/>
  </si>
  <si>
    <t>瀛海镇区级统筹集建地瀛隆街（瀛信路-金水大街）再生水、污水管线工程穿兴亦路工前评估</t>
    <phoneticPr fontId="37" type="noConversion"/>
  </si>
  <si>
    <t>大兴庞各庄镇乡村公路大修工程---薛北路、南张路、张北路综合治理工程</t>
    <phoneticPr fontId="37" type="noConversion"/>
  </si>
  <si>
    <t>春林大街（原芦求路）治超非现场执法设备建设工程</t>
    <phoneticPr fontId="37" type="noConversion"/>
  </si>
  <si>
    <t>HNJH2023-013</t>
    <phoneticPr fontId="37" type="noConversion"/>
  </si>
  <si>
    <t>HNJH2023-014</t>
    <phoneticPr fontId="37" type="noConversion"/>
  </si>
  <si>
    <t>专业院</t>
    <phoneticPr fontId="37" type="noConversion"/>
  </si>
  <si>
    <t>辛疃西路，长度0.48km</t>
    <phoneticPr fontId="37" type="noConversion"/>
  </si>
  <si>
    <t>镇工业区一路，长度1.3km</t>
    <phoneticPr fontId="37" type="noConversion"/>
  </si>
  <si>
    <t>邢各庄路，长度1km</t>
    <phoneticPr fontId="37" type="noConversion"/>
  </si>
  <si>
    <t>徐双路，长度1.1km</t>
    <phoneticPr fontId="37" type="noConversion"/>
  </si>
  <si>
    <t>长度5km</t>
    <phoneticPr fontId="37" type="noConversion"/>
  </si>
  <si>
    <t>300m，投资约700万元</t>
    <phoneticPr fontId="37" type="noConversion"/>
  </si>
  <si>
    <t>西外广场升级改造项目（一期），市政地下通道和出入口及周边市政人行道进行升级改造，包括市政地下通道和出入口的内、外部装修设计及相关机电设计，现状桥梁盖板区域铺装更新改造及周边部分市政人行道铺装更新改造设计工作</t>
    <phoneticPr fontId="37" type="noConversion"/>
  </si>
  <si>
    <t>北京市建筑设计研究院有限公司</t>
    <phoneticPr fontId="37" type="noConversion"/>
  </si>
  <si>
    <t>杨勇</t>
    <phoneticPr fontId="37" type="noConversion"/>
  </si>
  <si>
    <t>应发经营奖金（元）</t>
    <phoneticPr fontId="37" type="noConversion"/>
  </si>
  <si>
    <t>扣减经营奖金（元）</t>
    <phoneticPr fontId="37" type="noConversion"/>
  </si>
  <si>
    <t>实发经营奖金（元）</t>
    <phoneticPr fontId="37" type="noConversion"/>
  </si>
  <si>
    <t>应发生产奖金（元）</t>
    <phoneticPr fontId="37" type="noConversion"/>
  </si>
  <si>
    <t>实发生产奖金（元）</t>
    <phoneticPr fontId="37" type="noConversion"/>
  </si>
  <si>
    <t>单位</t>
    <phoneticPr fontId="37" type="noConversion"/>
  </si>
  <si>
    <t>联系人</t>
    <phoneticPr fontId="37" type="noConversion"/>
  </si>
  <si>
    <t>联系人、联系方式</t>
    <phoneticPr fontId="37" type="noConversion"/>
  </si>
  <si>
    <t>经营人员</t>
    <phoneticPr fontId="37" type="noConversion"/>
  </si>
  <si>
    <t>谈志宏13641349036</t>
    <phoneticPr fontId="37" type="noConversion"/>
  </si>
  <si>
    <t>宋庄公路镇政府</t>
    <phoneticPr fontId="37" type="noConversion"/>
  </si>
  <si>
    <t>杨文通13641257276</t>
    <phoneticPr fontId="37" type="noConversion"/>
  </si>
  <si>
    <t>韩连福13121256196</t>
    <phoneticPr fontId="37" type="noConversion"/>
  </si>
  <si>
    <t>河北镇政府</t>
    <phoneticPr fontId="37" type="noConversion"/>
  </si>
  <si>
    <t>肖总13911835251</t>
    <phoneticPr fontId="37" type="noConversion"/>
  </si>
  <si>
    <t>杨鹤13911253681</t>
    <phoneticPr fontId="37" type="noConversion"/>
  </si>
  <si>
    <t>薛建成15901120119</t>
    <phoneticPr fontId="37" type="noConversion"/>
  </si>
  <si>
    <t>穆坤15810568502</t>
    <phoneticPr fontId="37" type="noConversion"/>
  </si>
  <si>
    <t>邯郸设计院、房山水务局</t>
    <phoneticPr fontId="37" type="noConversion"/>
  </si>
  <si>
    <t>陈辉13436883898，李超13811171178</t>
    <phoneticPr fontId="37" type="noConversion"/>
  </si>
  <si>
    <t>北京市延庆区市政设施管理中心</t>
    <phoneticPr fontId="37" type="noConversion"/>
  </si>
  <si>
    <t>张大延</t>
    <phoneticPr fontId="37" type="noConversion"/>
  </si>
  <si>
    <t>北京兴福集地资产管理有限公司</t>
    <phoneticPr fontId="37" type="noConversion"/>
  </si>
  <si>
    <t>HNJH2023-004</t>
    <phoneticPr fontId="37" type="noConversion"/>
  </si>
  <si>
    <t>HNJH2023-006</t>
    <phoneticPr fontId="37" type="noConversion"/>
  </si>
  <si>
    <r>
      <t>概算信息</t>
    </r>
    <r>
      <rPr>
        <b/>
        <sz val="9"/>
        <color rgb="FFFF0000"/>
        <rFont val="黑体"/>
        <family val="3"/>
        <charset val="134"/>
      </rPr>
      <t>（估算）</t>
    </r>
  </si>
  <si>
    <t>李翔15210325382</t>
    <phoneticPr fontId="37" type="noConversion"/>
  </si>
  <si>
    <t>杨硕13488654915</t>
    <phoneticPr fontId="37" type="noConversion"/>
  </si>
  <si>
    <t>北京市大兴区庞各庄镇政府</t>
    <phoneticPr fontId="37" type="noConversion"/>
  </si>
  <si>
    <t>安莹15699922819</t>
    <phoneticPr fontId="37" type="noConversion"/>
  </si>
  <si>
    <t>杨建东、王新星</t>
    <phoneticPr fontId="37" type="noConversion"/>
  </si>
  <si>
    <t>合同、支付信息</t>
    <phoneticPr fontId="37" type="noConversion"/>
  </si>
  <si>
    <t>收入、分包支付信息</t>
    <phoneticPr fontId="37" type="noConversion"/>
  </si>
  <si>
    <t>扣减生产奖金（元）</t>
    <phoneticPr fontId="37" type="noConversion"/>
  </si>
  <si>
    <t xml:space="preserve">生物医药基地 </t>
    <phoneticPr fontId="37" type="noConversion"/>
  </si>
  <si>
    <t>孟君 13810034275</t>
    <phoneticPr fontId="37" type="noConversion"/>
  </si>
  <si>
    <t>ZYJH2023-015</t>
    <phoneticPr fontId="37" type="noConversion"/>
  </si>
  <si>
    <t>ZYJH2023-016</t>
  </si>
  <si>
    <t>HNJH2021-006</t>
    <phoneticPr fontId="37" type="noConversion"/>
  </si>
  <si>
    <t>北京农业职业学院</t>
    <phoneticPr fontId="37" type="noConversion"/>
  </si>
  <si>
    <t>16‘</t>
    <phoneticPr fontId="37" type="noConversion"/>
  </si>
  <si>
    <t>河北镇棚户区改造临时污水、雨水管线工程竣工图编制</t>
    <phoneticPr fontId="37" type="noConversion"/>
  </si>
  <si>
    <t>HNJH2019-016</t>
    <phoneticPr fontId="37" type="noConversion"/>
  </si>
  <si>
    <t>北京市建设工程材料交易中心食堂燃气工程----道路恢复工程</t>
    <phoneticPr fontId="37" type="noConversion"/>
  </si>
  <si>
    <t>2019.6.30</t>
  </si>
  <si>
    <t>2019.7.1</t>
  </si>
  <si>
    <t>面积5.75万㎡</t>
  </si>
  <si>
    <t>窑兴路，0.854km</t>
  </si>
  <si>
    <r>
      <t>胡家垡村环路</t>
    </r>
    <r>
      <rPr>
        <b/>
        <sz val="12"/>
        <rFont val="华文仿宋"/>
        <family val="3"/>
        <charset val="134"/>
      </rPr>
      <t>（未出图）</t>
    </r>
  </si>
  <si>
    <r>
      <t>碱厂环路</t>
    </r>
    <r>
      <rPr>
        <b/>
        <sz val="12"/>
        <rFont val="华文仿宋"/>
        <family val="3"/>
        <charset val="134"/>
      </rPr>
      <t>（未出图）</t>
    </r>
  </si>
  <si>
    <r>
      <t>江场村环路</t>
    </r>
    <r>
      <rPr>
        <b/>
        <sz val="12"/>
        <rFont val="华文仿宋"/>
        <family val="3"/>
        <charset val="134"/>
      </rPr>
      <t>（未出图）</t>
    </r>
  </si>
  <si>
    <r>
      <t>北九路</t>
    </r>
    <r>
      <rPr>
        <b/>
        <sz val="12"/>
        <rFont val="华文仿宋"/>
        <family val="3"/>
        <charset val="134"/>
      </rPr>
      <t>（未出图）</t>
    </r>
  </si>
  <si>
    <t>改善办学条件-基础设施改造-校园道路及附属设施改造工程（设计）</t>
    <phoneticPr fontId="37" type="noConversion"/>
  </si>
  <si>
    <t>G6辅路2.67km。</t>
    <phoneticPr fontId="37" type="noConversion"/>
  </si>
  <si>
    <t>兴阳线水毁</t>
    <phoneticPr fontId="37" type="noConversion"/>
  </si>
  <si>
    <t>兴阳线中修，2.665km</t>
    <phoneticPr fontId="37" type="noConversion"/>
  </si>
  <si>
    <t>外石路水毁</t>
    <phoneticPr fontId="37" type="noConversion"/>
  </si>
  <si>
    <t>铁泰路水毁</t>
    <phoneticPr fontId="37" type="noConversion"/>
  </si>
  <si>
    <t>黑艾路水毁</t>
    <phoneticPr fontId="37" type="noConversion"/>
  </si>
  <si>
    <t>大西路水毁</t>
    <phoneticPr fontId="37" type="noConversion"/>
  </si>
  <si>
    <t>2023年延庆区黑艾路灾后恢复重建工程</t>
    <phoneticPr fontId="37" type="noConversion"/>
  </si>
  <si>
    <t>2023年延庆区大西路等7条县道灾后恢复重建工程</t>
    <phoneticPr fontId="37" type="noConversion"/>
  </si>
  <si>
    <t>2023年延庆区京青线等2条国道灾后恢复重建工程</t>
    <phoneticPr fontId="37" type="noConversion"/>
  </si>
  <si>
    <t>2023年延庆区滦赤路等4条市道灾后恢复重建工程</t>
    <phoneticPr fontId="37" type="noConversion"/>
  </si>
  <si>
    <t>2023年延庆区南山环线灾后恢复重建工程</t>
    <phoneticPr fontId="37" type="noConversion"/>
  </si>
  <si>
    <t>梁工15810476282</t>
    <phoneticPr fontId="37" type="noConversion"/>
  </si>
  <si>
    <t>机动车道雨水明挖管线恢复，长度482米，恢复道路面积12693平米</t>
    <phoneticPr fontId="37" type="noConversion"/>
  </si>
  <si>
    <t>2022年延庆区普通公路挡墙恢复项目-2022年延庆区普通公路日常养护-滦赤路、兴阳线挡墙恢复项目</t>
    <phoneticPr fontId="37" type="noConversion"/>
  </si>
  <si>
    <t>HNJH2023-017</t>
    <phoneticPr fontId="37" type="noConversion"/>
  </si>
  <si>
    <t>2个前评估</t>
    <phoneticPr fontId="37" type="noConversion"/>
  </si>
  <si>
    <t>HNJH2021-014</t>
    <phoneticPr fontId="37" type="noConversion"/>
  </si>
  <si>
    <t>2023年延庆区南山环线灾后恢复重建等5项工程工程</t>
    <phoneticPr fontId="37" type="noConversion"/>
  </si>
  <si>
    <t>2个安全评估，2个前评估</t>
    <phoneticPr fontId="37" type="noConversion"/>
  </si>
  <si>
    <t>2023 年延庆区南山环线灾后 重建工程、 2023 年延庆区京青线等 2 条国道灾后重建工程、 2023 年延庆区深赤 路等 4 条市道灾后重建工程、 2023 年延庆区大西路等 7 条县道灾后重建工程、 2023 年延庆区黑艾路灾后重建工程</t>
    <phoneticPr fontId="37" type="noConversion"/>
  </si>
  <si>
    <t>HNJH2023-018</t>
    <phoneticPr fontId="37" type="noConversion"/>
  </si>
  <si>
    <t>王新星、解鹏</t>
    <phoneticPr fontId="37" type="noConversion"/>
  </si>
  <si>
    <t>王新星、杨建东、解鹏</t>
    <phoneticPr fontId="37" type="noConversion"/>
  </si>
  <si>
    <t>2021年房山区普通公路路面和桥梁中小修工程勘察设计---第1标段—2021年房山区普通公路国省道路面中小修工程勘察设计</t>
    <phoneticPr fontId="37" type="noConversion"/>
  </si>
  <si>
    <t>大兴公路分局2024年路网信息采集与发布设施建设、更新、 治超专项工程及其他路网建设项目设计</t>
    <phoneticPr fontId="37" type="noConversion"/>
  </si>
  <si>
    <t>河南交规院</t>
    <phoneticPr fontId="37" type="noConversion"/>
  </si>
  <si>
    <t>窑管路，长度5.4km</t>
    <phoneticPr fontId="37" type="noConversion"/>
  </si>
  <si>
    <t>测绘、物探</t>
    <phoneticPr fontId="37" type="noConversion"/>
  </si>
  <si>
    <t>2023年国网北京延庆供电公司曹碾等6个村农村煤改电工程顺行、跨越G110国道京银线（莲花滩收费站南至碓臼石村北段）项目保障公路及附属设施质量和安全技术评价报告</t>
    <phoneticPr fontId="37" type="noConversion"/>
  </si>
  <si>
    <t>HNJH2023-019</t>
  </si>
  <si>
    <t>石景山区政务服务中心和档案馆新建工程-一次线部分（道路红线内）工前评估</t>
    <phoneticPr fontId="37" type="noConversion"/>
  </si>
  <si>
    <t>安全技术评价报告</t>
    <phoneticPr fontId="37" type="noConversion"/>
  </si>
  <si>
    <t>北京诚惠电力工程有限公司</t>
    <phoneticPr fontId="37" type="noConversion"/>
  </si>
  <si>
    <t>作废</t>
    <phoneticPr fontId="37" type="noConversion"/>
  </si>
  <si>
    <t>兴阳线北侧辅路人行步道工程</t>
    <phoneticPr fontId="37" type="noConversion"/>
  </si>
  <si>
    <t>2024年延庆区普通公路路面、桥梁、隧道养护(中修)工程、维护及应急抢险工程、交通工程、绿化工程勘察设计第1标段</t>
    <phoneticPr fontId="37" type="noConversion"/>
  </si>
  <si>
    <t>燕山地区道路恢复、路灯电缆修复、桥梁检测修复工程</t>
    <phoneticPr fontId="37" type="noConversion"/>
  </si>
  <si>
    <t>兴亦路亦庄水厂西南侧DN600联络线掘路恢复工程</t>
    <phoneticPr fontId="37" type="noConversion"/>
  </si>
  <si>
    <t>HNJH2024-002</t>
    <phoneticPr fontId="37" type="noConversion"/>
  </si>
  <si>
    <t>HNJH2024-003</t>
    <phoneticPr fontId="37" type="noConversion"/>
  </si>
  <si>
    <t>HNJH2024-005</t>
    <phoneticPr fontId="37" type="noConversion"/>
  </si>
  <si>
    <t>2024 年大兴区普通公路路面和桥梁养护（中修）工程、维护及应急抢险工程、交通工程、绿化工程勘察设计第5 标段</t>
    <phoneticPr fontId="37" type="noConversion"/>
  </si>
  <si>
    <t>HNJH2024-006</t>
    <phoneticPr fontId="37" type="noConversion"/>
  </si>
  <si>
    <t>穆科长</t>
    <phoneticPr fontId="37" type="noConversion"/>
  </si>
  <si>
    <t>13910416067</t>
    <phoneticPr fontId="37" type="noConversion"/>
  </si>
  <si>
    <t>穆佳楠，13910416067</t>
    <phoneticPr fontId="37" type="noConversion"/>
  </si>
  <si>
    <t>2024年通州区宋庄镇乡村公路中修工程</t>
    <phoneticPr fontId="37" type="noConversion"/>
  </si>
  <si>
    <t>2024年房山区普通公路路面和桥梁养护（中修）工程、维护及应急抢险工程勘察设计</t>
    <phoneticPr fontId="37" type="noConversion"/>
  </si>
  <si>
    <t>延庆区G6辅路（K58+900-K62+600）、八峪路（上行K3+900-K6+000、下行K3+900-K4+800、下行K7+700-K9+400、下行K13+400-K14+300）养护工程</t>
    <phoneticPr fontId="37" type="noConversion"/>
  </si>
  <si>
    <t>G234兴阳线（K170+600-K180+400、K207+100-K216+500、K229+200-K240+597）中修工程 19.544km</t>
    <phoneticPr fontId="37" type="noConversion"/>
  </si>
  <si>
    <t>G234兴阳线（K181+000-K186+900、K217+000-K219+000）中修工程，7.3km</t>
    <phoneticPr fontId="37" type="noConversion"/>
  </si>
  <si>
    <t>HNJH2024-009</t>
    <phoneticPr fontId="37" type="noConversion"/>
  </si>
  <si>
    <t>八峪路（上行K3+900-K6+000、下行K3+900-K4+800、下行K7+700-K9+400、下行K13+400-K14+300）养护工程</t>
    <phoneticPr fontId="37" type="noConversion"/>
  </si>
  <si>
    <t>G6辅路（K58+900-K62+600）养护工程</t>
    <phoneticPr fontId="37" type="noConversion"/>
  </si>
  <si>
    <t>2024年大兴区公路交通安全设施精细化提升工程（5条路护栏提升）</t>
    <phoneticPr fontId="37" type="noConversion"/>
  </si>
  <si>
    <t>2024年道路交通安全隐患治理工程（7个终点路口）</t>
    <phoneticPr fontId="37" type="noConversion"/>
  </si>
  <si>
    <t>TXDJH2024-008</t>
    <phoneticPr fontId="37" type="noConversion"/>
  </si>
  <si>
    <t>延庆区东刘路（东桑园入口处）改造工程</t>
    <phoneticPr fontId="37" type="noConversion"/>
  </si>
  <si>
    <t>HNJH2024-004L01</t>
    <phoneticPr fontId="37" type="noConversion"/>
  </si>
  <si>
    <t>HNJH2024-004L02</t>
  </si>
  <si>
    <t>HNJH2024-004L03</t>
  </si>
  <si>
    <t>2024年大兴公路分局普通公路治超专项工程</t>
    <phoneticPr fontId="37" type="noConversion"/>
  </si>
  <si>
    <t>2024年大兴公路分局普通公路路网设施工程</t>
    <phoneticPr fontId="37" type="noConversion"/>
  </si>
  <si>
    <t>HNJH2024-001J</t>
    <phoneticPr fontId="37" type="noConversion"/>
  </si>
  <si>
    <t>HNJH2024-002J</t>
    <phoneticPr fontId="37" type="noConversion"/>
  </si>
  <si>
    <t>环卫集团南宫厨余沼气并网配套天然气工程穿越G104公路进行工前评估报告编制工作</t>
    <phoneticPr fontId="37" type="noConversion"/>
  </si>
  <si>
    <t>中工</t>
    <phoneticPr fontId="37" type="noConversion"/>
  </si>
  <si>
    <t>HNJH2024-010</t>
    <phoneticPr fontId="37" type="noConversion"/>
  </si>
  <si>
    <t>吕文克</t>
    <phoneticPr fontId="37" type="noConversion"/>
  </si>
  <si>
    <t>大兴燃气集团</t>
    <phoneticPr fontId="37" type="noConversion"/>
  </si>
  <si>
    <t>闫超</t>
    <phoneticPr fontId="37" type="noConversion"/>
  </si>
  <si>
    <t>13811311956</t>
    <phoneticPr fontId="37" type="noConversion"/>
  </si>
  <si>
    <t>3工区（走瑞通）（走京宏）</t>
    <phoneticPr fontId="37" type="noConversion"/>
  </si>
  <si>
    <t>6工区（走瑞通）（走京宏）</t>
    <phoneticPr fontId="37" type="noConversion"/>
  </si>
  <si>
    <t>2024年庞各庄镇乡村公路大修（设计）</t>
    <phoneticPr fontId="37" type="noConversion"/>
  </si>
  <si>
    <t>HNJH2024-011</t>
    <phoneticPr fontId="37" type="noConversion"/>
  </si>
  <si>
    <t>双南路，四级路，0.49km</t>
    <phoneticPr fontId="37" type="noConversion"/>
  </si>
  <si>
    <t>2024年大兴区兴亦路绿化工程</t>
    <phoneticPr fontId="37" type="noConversion"/>
  </si>
  <si>
    <t>房山区G108京昆线东庄子桥小修工程</t>
    <phoneticPr fontId="37" type="noConversion"/>
  </si>
  <si>
    <t>房山区西庄村1号桥中修工程</t>
    <phoneticPr fontId="37" type="noConversion"/>
  </si>
  <si>
    <t>HNJH2024-007Q01</t>
    <phoneticPr fontId="37" type="noConversion"/>
  </si>
  <si>
    <t>HNJH2024-007Q02</t>
    <phoneticPr fontId="37" type="noConversion"/>
  </si>
  <si>
    <t>房山区窦公路公议庄村排水改造工程</t>
    <phoneticPr fontId="37" type="noConversion"/>
  </si>
  <si>
    <t>HNJH2024-012</t>
    <phoneticPr fontId="37" type="noConversion"/>
  </si>
  <si>
    <t>2024年国网北京延庆供电公司10kV沙梁子等3个村农村煤改电配套工程项目(滦赤路段)保障公路及附属设施质量</t>
    <phoneticPr fontId="37" type="noConversion"/>
  </si>
  <si>
    <t>2024年国网北京延庆供电公司10kV沙梁子等3个村农村煤改电配套工程占用挖掘千小路</t>
    <phoneticPr fontId="37" type="noConversion"/>
  </si>
  <si>
    <t>2024年国网北京延庆供电公司10kV沙梁子等3个村农村煤改电配套工程项目(千小路段)保障公路及附属设施质量</t>
    <phoneticPr fontId="37" type="noConversion"/>
  </si>
  <si>
    <t>HNJH2024-013</t>
  </si>
  <si>
    <t>HNJH2024-014</t>
  </si>
  <si>
    <t>2025年延庆区普通公路养护工程勘察设计</t>
    <phoneticPr fontId="37" type="noConversion"/>
  </si>
  <si>
    <t>京青线(K51+920-K60+900)、</t>
    <phoneticPr fontId="37" type="noConversion"/>
  </si>
  <si>
    <t>滦赤路(K121+000-K130+000)</t>
    <phoneticPr fontId="37" type="noConversion"/>
  </si>
  <si>
    <t>HNJH2024-015</t>
    <phoneticPr fontId="37" type="noConversion"/>
  </si>
  <si>
    <r>
      <t>大兴区一水厂、二水厂、黄村水厂管网连通项目二期工程</t>
    </r>
    <r>
      <rPr>
        <sz val="9"/>
        <rFont val="黑体"/>
        <family val="3"/>
        <charset val="134"/>
      </rPr>
      <t>（大兴区一水厂、二水厂、黄村水厂管网连通项目二期工程 （芦求路-规划横十七路））（芦求路K9+139-K9+313）</t>
    </r>
    <phoneticPr fontId="37" type="noConversion"/>
  </si>
  <si>
    <t>宋通路路基工程</t>
    <phoneticPr fontId="37" type="noConversion"/>
  </si>
  <si>
    <t>宋通路中修工程</t>
    <phoneticPr fontId="37" type="noConversion"/>
  </si>
  <si>
    <t>小堡工业区环路中修工程</t>
    <phoneticPr fontId="37" type="noConversion"/>
  </si>
  <si>
    <t>辛疃西路中修工程</t>
    <phoneticPr fontId="37" type="noConversion"/>
  </si>
  <si>
    <t>徐双路路基工程</t>
    <phoneticPr fontId="37" type="noConversion"/>
  </si>
  <si>
    <t>中坝河路中修工程</t>
    <phoneticPr fontId="37" type="noConversion"/>
  </si>
  <si>
    <t>HNJH2024-007L03</t>
    <phoneticPr fontId="37" type="noConversion"/>
  </si>
  <si>
    <t>HNJH2024-007L04</t>
    <phoneticPr fontId="37" type="noConversion"/>
  </si>
  <si>
    <t>房山区窦公路路面修复工程</t>
    <phoneticPr fontId="37" type="noConversion"/>
  </si>
  <si>
    <t>松闫路（K14+300-K16+937）路基沉陷专项治理工程</t>
    <phoneticPr fontId="37" type="noConversion"/>
  </si>
  <si>
    <t>HNJH2024-004L04</t>
    <phoneticPr fontId="37" type="noConversion"/>
  </si>
  <si>
    <t xml:space="preserve">大兴新城西片区一期A组团市政配套支路 禾嘉南路、禾嘉北路电力、污水管线穿越芦求路工程前评估 </t>
    <phoneticPr fontId="37" type="noConversion"/>
  </si>
  <si>
    <t>大兴城建</t>
    <phoneticPr fontId="37" type="noConversion"/>
  </si>
  <si>
    <t>宋浩</t>
    <phoneticPr fontId="37" type="noConversion"/>
  </si>
  <si>
    <t>北京亦庄新城黄亦路（金时大街-亦庄水厂）新建给水管线工程 工前评估、安全评估</t>
    <phoneticPr fontId="37" type="noConversion"/>
  </si>
  <si>
    <t>苏延航</t>
    <phoneticPr fontId="37" type="noConversion"/>
  </si>
  <si>
    <t>北京图精图像数据分析处理赋能云平台项目外电源工程占用挖掘延庆区G6 辅路（K67+800~K69+000） 安全评估报告</t>
    <phoneticPr fontId="37" type="noConversion"/>
  </si>
  <si>
    <t>延庆电力局</t>
    <phoneticPr fontId="37" type="noConversion"/>
  </si>
  <si>
    <t>孙立涛</t>
    <phoneticPr fontId="37" type="noConversion"/>
  </si>
  <si>
    <t>北京图精图像数据分析处理赋能云平台项目外电源工程占用挖掘延庆区G6 辅路（K67+800~K69+000） 安全评估报告编制</t>
    <phoneticPr fontId="37" type="noConversion"/>
  </si>
  <si>
    <t xml:space="preserve">安定垃圾填埋场周边综合治理村民自住楼（东片区）配套市政工程—安采路路口专项设计
</t>
    <phoneticPr fontId="37" type="noConversion"/>
  </si>
  <si>
    <t>三个路口专项设计</t>
    <phoneticPr fontId="37" type="noConversion"/>
  </si>
  <si>
    <t>京南公司</t>
    <phoneticPr fontId="37" type="noConversion"/>
  </si>
  <si>
    <t>赵鹏</t>
    <phoneticPr fontId="37" type="noConversion"/>
  </si>
  <si>
    <t>2024年大兴新城市场路腾退区域综合治理提升项目--黄村东大街、京开辅路改造道路及管线工程安评</t>
    <phoneticPr fontId="37" type="noConversion"/>
  </si>
  <si>
    <t>旧忠路DN600给水管线掘路恢复工程</t>
    <phoneticPr fontId="37" type="noConversion"/>
  </si>
  <si>
    <t>194米掘路恢复</t>
    <phoneticPr fontId="37" type="noConversion"/>
  </si>
  <si>
    <t>HNJH2024-021</t>
    <phoneticPr fontId="37" type="noConversion"/>
  </si>
  <si>
    <t>HNJH2024-016</t>
  </si>
  <si>
    <t>HNJH2024-017</t>
  </si>
  <si>
    <t>HNJH2024-018</t>
  </si>
  <si>
    <t>HNJH2024-019</t>
  </si>
  <si>
    <t>HNJH2024-020</t>
  </si>
  <si>
    <t>2024.10</t>
    <phoneticPr fontId="37" type="noConversion"/>
  </si>
  <si>
    <t>工前评估4、安全技术评估2</t>
    <phoneticPr fontId="37" type="noConversion"/>
  </si>
  <si>
    <t>房山公路局</t>
    <phoneticPr fontId="37" type="noConversion"/>
  </si>
  <si>
    <t>大兴公路局</t>
    <phoneticPr fontId="37" type="noConversion"/>
  </si>
  <si>
    <t>禾嘉南路电力、污水管线，禾嘉北路电力、污水管线，穿越芦求路工程前评估4个报告编制工作</t>
    <phoneticPr fontId="37" type="noConversion"/>
  </si>
  <si>
    <r>
      <t>环卫集团南宫厨余沼气并网配套天然气工程</t>
    </r>
    <r>
      <rPr>
        <b/>
        <sz val="10"/>
        <rFont val="黑体"/>
        <family val="3"/>
        <charset val="134"/>
      </rPr>
      <t>（安全评估评估）</t>
    </r>
    <phoneticPr fontId="37" type="noConversion"/>
  </si>
  <si>
    <r>
      <t>环卫集团南宫厨余沼气并网配套天然气工程</t>
    </r>
    <r>
      <rPr>
        <b/>
        <sz val="10"/>
        <rFont val="黑体"/>
        <family val="3"/>
        <charset val="134"/>
      </rPr>
      <t>（工前评估）</t>
    </r>
    <phoneticPr fontId="37" type="noConversion"/>
  </si>
  <si>
    <t>G6辅线安全评估</t>
    <phoneticPr fontId="37" type="noConversion"/>
  </si>
  <si>
    <t>京宏</t>
    <phoneticPr fontId="37" type="noConversion"/>
  </si>
  <si>
    <t>HNJH2024-022</t>
  </si>
  <si>
    <t>后堰上北2桥</t>
    <phoneticPr fontId="37" type="noConversion"/>
  </si>
  <si>
    <t>通州区2018年公路桥梁改建工程(7座桥）</t>
    <phoneticPr fontId="37" type="noConversion"/>
  </si>
  <si>
    <t>南小营东桥</t>
    <phoneticPr fontId="37" type="noConversion"/>
  </si>
  <si>
    <t>通州区2018年公路桥梁改建工程（张家湾镇北凉运桥）</t>
    <phoneticPr fontId="37" type="noConversion"/>
  </si>
  <si>
    <t>土储大兴</t>
    <phoneticPr fontId="37" type="noConversion"/>
  </si>
  <si>
    <t>宋庄镇2025年乡村公路大修工程勘察设计服务项目</t>
    <phoneticPr fontId="37" type="noConversion"/>
  </si>
  <si>
    <t>特希达</t>
    <phoneticPr fontId="37" type="noConversion"/>
  </si>
  <si>
    <t>HNJH2024-023</t>
  </si>
  <si>
    <t>TXDJH2024-024</t>
    <phoneticPr fontId="37" type="noConversion"/>
  </si>
  <si>
    <t>鲍家铺北路综合治理工程</t>
    <phoneticPr fontId="37" type="noConversion"/>
  </si>
  <si>
    <t>四级路，101米</t>
    <phoneticPr fontId="37" type="noConversion"/>
  </si>
  <si>
    <t>2024.10</t>
    <phoneticPr fontId="37" type="noConversion"/>
  </si>
  <si>
    <t>HNJH2024-025</t>
    <phoneticPr fontId="37" type="noConversion"/>
  </si>
  <si>
    <t>京福路、三太路电力、电信管线安评、工前评估报价（计委文件  计价表）</t>
    <phoneticPr fontId="37" type="noConversion"/>
  </si>
  <si>
    <t>2024.11</t>
    <phoneticPr fontId="37" type="noConversion"/>
  </si>
  <si>
    <t>安评1，工前2</t>
    <phoneticPr fontId="37" type="noConversion"/>
  </si>
  <si>
    <t>HNJH2024-026</t>
  </si>
  <si>
    <t>2024.11</t>
    <phoneticPr fontId="37" type="noConversion"/>
  </si>
  <si>
    <t>环卫集团南宫厨余沼气并网配套天然气工程拉管顺行104 国道（兴亦路口-K18+440）工前评估报告编制工作</t>
    <phoneticPr fontId="37" type="noConversion"/>
  </si>
  <si>
    <t>HNJH2024-027</t>
  </si>
  <si>
    <t>大兴榆垡检查站车辆外廓尺寸自动检测设备安装工程</t>
    <phoneticPr fontId="37" type="noConversion"/>
  </si>
  <si>
    <t>2024年大兴区榆垡检查站初检区静态秤改造工程</t>
    <phoneticPr fontId="37" type="noConversion"/>
  </si>
  <si>
    <t>延庆交通委</t>
    <phoneticPr fontId="37" type="noConversion"/>
  </si>
  <si>
    <t>杨建东</t>
    <phoneticPr fontId="37" type="noConversion"/>
  </si>
  <si>
    <t>庞各庄镇政府</t>
    <phoneticPr fontId="37" type="noConversion"/>
  </si>
  <si>
    <t>王新星</t>
    <phoneticPr fontId="37" type="noConversion"/>
  </si>
  <si>
    <t>2024年通州区普通公路安全设施精细化提升专项工程</t>
    <phoneticPr fontId="37" type="noConversion"/>
  </si>
  <si>
    <t>2024.3</t>
    <phoneticPr fontId="37" type="noConversion"/>
  </si>
  <si>
    <t>北京市政总院</t>
    <phoneticPr fontId="37" type="noConversion"/>
  </si>
  <si>
    <t>何萌</t>
    <phoneticPr fontId="37" type="noConversion"/>
  </si>
  <si>
    <t>北京市政总院分包</t>
    <phoneticPr fontId="37" type="noConversion"/>
  </si>
  <si>
    <t>朝阳区三间房D区棚户区改造土地开发项目0007、0020地块市政</t>
    <phoneticPr fontId="37" type="noConversion"/>
  </si>
  <si>
    <t>黄渠东路、三间房南一街、三间房南二街</t>
    <phoneticPr fontId="37" type="noConversion"/>
  </si>
  <si>
    <t>张北路，四级路，1.71km</t>
    <phoneticPr fontId="37" type="noConversion"/>
  </si>
  <si>
    <t>王加路，四级路，1.693km</t>
    <phoneticPr fontId="37" type="noConversion"/>
  </si>
  <si>
    <t>庞北路，四级路，0.715kn</t>
    <phoneticPr fontId="37" type="noConversion"/>
  </si>
  <si>
    <t>鲍北路，四级路，1.521km</t>
    <phoneticPr fontId="37" type="noConversion"/>
  </si>
  <si>
    <t>西韩路，四级路，1.31km</t>
    <phoneticPr fontId="37" type="noConversion"/>
  </si>
  <si>
    <t>荣北路，四级路，6.95km</t>
    <phoneticPr fontId="37" type="noConversion"/>
  </si>
  <si>
    <t>常各庄东路，四级路，1.017km</t>
    <phoneticPr fontId="37" type="noConversion"/>
  </si>
  <si>
    <t>宋各庄中路，四级路，0.34km</t>
    <phoneticPr fontId="37" type="noConversion"/>
  </si>
  <si>
    <t>张公垡西一路，四级路，1.534km</t>
    <phoneticPr fontId="37" type="noConversion"/>
  </si>
  <si>
    <t>东高各庄环路，四级路，1.11km</t>
    <phoneticPr fontId="37" type="noConversion"/>
  </si>
  <si>
    <t>项目调整至HNJH2024-016</t>
    <phoneticPr fontId="37" type="noConversion"/>
  </si>
  <si>
    <t>辛疃西路，三级路，1.1km</t>
    <phoneticPr fontId="37" type="noConversion"/>
  </si>
  <si>
    <t>窑管路，三级路，2.45km</t>
    <phoneticPr fontId="37" type="noConversion"/>
  </si>
  <si>
    <t>烛光路，二级路，0.58km</t>
    <phoneticPr fontId="37" type="noConversion"/>
  </si>
  <si>
    <t>疃小路，三级路，0.505km</t>
    <phoneticPr fontId="37" type="noConversion"/>
  </si>
  <si>
    <t>韩国丰</t>
    <phoneticPr fontId="37" type="noConversion"/>
  </si>
  <si>
    <t>原HNJH2023-009项目，段落变化</t>
    <phoneticPr fontId="37" type="noConversion"/>
  </si>
  <si>
    <t>ZYYJH2025-002</t>
    <phoneticPr fontId="37" type="noConversion"/>
  </si>
  <si>
    <t>2025年通州区宋庄镇乡村公路中修工程</t>
    <phoneticPr fontId="37" type="noConversion"/>
  </si>
  <si>
    <t>平疃路北段K1+570 涵洞养护工程，D=1500mm 过路管涵，长6米</t>
    <phoneticPr fontId="37" type="noConversion"/>
  </si>
  <si>
    <t>TXDJH2025-002</t>
    <phoneticPr fontId="37" type="noConversion"/>
  </si>
  <si>
    <t>大兴区庞各庄镇薛营东路综合治理工程</t>
    <phoneticPr fontId="37" type="noConversion"/>
  </si>
  <si>
    <t>2025.02</t>
    <phoneticPr fontId="37" type="noConversion"/>
  </si>
  <si>
    <t>四级路，0.6km</t>
    <phoneticPr fontId="37" type="noConversion"/>
  </si>
  <si>
    <t>HNJH2025-003</t>
    <phoneticPr fontId="37" type="noConversion"/>
  </si>
  <si>
    <t>106国道（兴良路-天河西路、天宫院桥匝道-G230）提级改造工程</t>
    <phoneticPr fontId="37" type="noConversion"/>
  </si>
  <si>
    <t>2025.01</t>
    <phoneticPr fontId="37" type="noConversion"/>
  </si>
  <si>
    <t>一级路，2.47km</t>
    <phoneticPr fontId="37" type="noConversion"/>
  </si>
  <si>
    <t>HNJH2025-004</t>
    <phoneticPr fontId="37" type="noConversion"/>
  </si>
  <si>
    <t>大兴公路分局2025年路网信息采集与发布设施建设、更新、治超专项工程及其他路网建设项目</t>
    <phoneticPr fontId="37" type="noConversion"/>
  </si>
  <si>
    <t>2025.3</t>
    <phoneticPr fontId="37" type="noConversion"/>
  </si>
  <si>
    <t>HNJH2025-005</t>
    <phoneticPr fontId="37" type="noConversion"/>
  </si>
  <si>
    <t>人民渠（首钢东南区）蓄涝区建设工程--工前评估</t>
    <phoneticPr fontId="37" type="noConversion"/>
  </si>
  <si>
    <t>2025.4</t>
    <phoneticPr fontId="37" type="noConversion"/>
  </si>
  <si>
    <t>4个</t>
    <phoneticPr fontId="37" type="noConversion"/>
  </si>
  <si>
    <t>HNJH2025-006</t>
    <phoneticPr fontId="37" type="noConversion"/>
  </si>
  <si>
    <t>通州区宋庄镇徐双路道路工程</t>
    <phoneticPr fontId="37" type="noConversion"/>
  </si>
  <si>
    <t>TXDJH2025-007</t>
    <phoneticPr fontId="37" type="noConversion"/>
  </si>
  <si>
    <t>京青线米家堡路口专项设计工程</t>
    <phoneticPr fontId="37" type="noConversion"/>
  </si>
  <si>
    <t>道路开口</t>
    <phoneticPr fontId="37" type="noConversion"/>
  </si>
  <si>
    <t>HNJH2025-008</t>
    <phoneticPr fontId="37" type="noConversion"/>
  </si>
  <si>
    <t>项目经营管理台账（2025年）（电子）</t>
    <phoneticPr fontId="37" type="noConversion"/>
  </si>
  <si>
    <t>项目经营管理台账（2024年）（电子）</t>
    <phoneticPr fontId="37" type="noConversion"/>
  </si>
  <si>
    <t>项目经营管理台账（2023年）（电子）</t>
    <phoneticPr fontId="37" type="noConversion"/>
  </si>
  <si>
    <t>项目经营管理台账（2022年）（电子）</t>
    <phoneticPr fontId="37" type="noConversion"/>
  </si>
  <si>
    <t>项目经营管理台账（2021年）（电子）</t>
    <phoneticPr fontId="37" type="noConversion"/>
  </si>
  <si>
    <t>项目经营管理台账（2020年）（电子）</t>
    <phoneticPr fontId="37" type="noConversion"/>
  </si>
  <si>
    <t>30000</t>
    <phoneticPr fontId="37" type="noConversion"/>
  </si>
  <si>
    <t>编制报告2份</t>
    <phoneticPr fontId="37" type="noConversion"/>
  </si>
  <si>
    <t>45000</t>
    <phoneticPr fontId="37" type="noConversion"/>
  </si>
  <si>
    <t>编制报告3份</t>
    <phoneticPr fontId="37" type="noConversion"/>
  </si>
  <si>
    <t>2025年5.13支付菅志伟</t>
    <phoneticPr fontId="37" type="noConversion"/>
  </si>
  <si>
    <t>15000</t>
    <phoneticPr fontId="37" type="noConversion"/>
  </si>
  <si>
    <t>编制报告1份</t>
    <phoneticPr fontId="37" type="noConversion"/>
  </si>
  <si>
    <t>2024.5.8支付李霞</t>
    <phoneticPr fontId="37" type="noConversion"/>
  </si>
  <si>
    <t>2份报告</t>
    <phoneticPr fontId="37" type="noConversion"/>
  </si>
  <si>
    <t>1份报告</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</si>
</sst>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7" formatCode="0_);[Red]\(0\)"/>
    <numFmt numFmtId="178" formatCode="0.00_ "/>
    <numFmt numFmtId="179" formatCode="0.000_);[Red]\(0.000\)"/>
  </numFmts>
  <fonts count="89" x14ac:knownFonts="1">
    <font>
      <sz val="10"/>
      <name val="Arial"/>
      <charset val="134"/>
    </font>
    <font>
      <sz val="10"/>
      <name val="华文仿宋"/>
      <family val="3"/>
      <charset val="134"/>
    </font>
    <font>
      <sz val="12.5"/>
      <name val="华文仿宋"/>
      <family val="3"/>
      <charset val="134"/>
    </font>
    <font>
      <b/>
      <sz val="10"/>
      <name val="华文仿宋"/>
      <family val="3"/>
      <charset val="134"/>
    </font>
    <font>
      <b/>
      <sz val="10"/>
      <color rgb="FFFF0000"/>
      <name val="华文仿宋"/>
      <family val="3"/>
      <charset val="134"/>
    </font>
    <font>
      <b/>
      <sz val="10"/>
      <color rgb="FFFFFF00"/>
      <name val="华文仿宋"/>
      <family val="3"/>
      <charset val="134"/>
    </font>
    <font>
      <i/>
      <sz val="10"/>
      <name val="华文仿宋"/>
      <family val="3"/>
      <charset val="134"/>
    </font>
    <font>
      <b/>
      <sz val="10"/>
      <color rgb="FF00B050"/>
      <name val="华文仿宋"/>
      <family val="3"/>
      <charset val="134"/>
    </font>
    <font>
      <b/>
      <u val="double"/>
      <sz val="12.5"/>
      <name val="华文仿宋"/>
      <family val="3"/>
      <charset val="134"/>
    </font>
    <font>
      <b/>
      <sz val="12.5"/>
      <name val="华文仿宋"/>
      <family val="3"/>
      <charset val="134"/>
    </font>
    <font>
      <b/>
      <sz val="10"/>
      <color theme="1"/>
      <name val="华文仿宋"/>
      <family val="3"/>
      <charset val="134"/>
    </font>
    <font>
      <b/>
      <u/>
      <sz val="10"/>
      <name val="华文仿宋"/>
      <family val="3"/>
      <charset val="134"/>
    </font>
    <font>
      <b/>
      <sz val="15"/>
      <name val="华文仿宋"/>
      <family val="3"/>
      <charset val="134"/>
    </font>
    <font>
      <b/>
      <sz val="12.5"/>
      <color rgb="FFFF0000"/>
      <name val="华文仿宋"/>
      <family val="3"/>
      <charset val="134"/>
    </font>
    <font>
      <b/>
      <sz val="12.5"/>
      <color rgb="FFFFFF00"/>
      <name val="华文仿宋"/>
      <family val="3"/>
      <charset val="134"/>
    </font>
    <font>
      <i/>
      <sz val="12.5"/>
      <name val="华文仿宋"/>
      <family val="3"/>
      <charset val="134"/>
    </font>
    <font>
      <b/>
      <sz val="12.5"/>
      <color rgb="FF00B050"/>
      <name val="华文仿宋"/>
      <family val="3"/>
      <charset val="134"/>
    </font>
    <font>
      <sz val="10"/>
      <color theme="1"/>
      <name val="华文仿宋"/>
      <family val="3"/>
      <charset val="134"/>
    </font>
    <font>
      <b/>
      <sz val="10"/>
      <color rgb="FF0070C0"/>
      <name val="华文仿宋"/>
      <family val="3"/>
      <charset val="134"/>
    </font>
    <font>
      <i/>
      <sz val="10"/>
      <color rgb="FFFF0000"/>
      <name val="华文仿宋"/>
      <family val="3"/>
      <charset val="134"/>
    </font>
    <font>
      <b/>
      <i/>
      <sz val="10"/>
      <color rgb="FFFF0000"/>
      <name val="华文仿宋"/>
      <family val="3"/>
      <charset val="134"/>
    </font>
    <font>
      <sz val="9"/>
      <name val="华文仿宋"/>
      <family val="3"/>
      <charset val="134"/>
    </font>
    <font>
      <sz val="10"/>
      <color rgb="FFFF0000"/>
      <name val="华文仿宋"/>
      <family val="3"/>
      <charset val="134"/>
    </font>
    <font>
      <b/>
      <sz val="10"/>
      <name val="宋体"/>
      <family val="3"/>
      <charset val="134"/>
    </font>
    <font>
      <b/>
      <u val="double"/>
      <sz val="15"/>
      <name val="华文仿宋"/>
      <family val="3"/>
      <charset val="134"/>
    </font>
    <font>
      <sz val="7.5"/>
      <name val="华文仿宋"/>
      <family val="3"/>
      <charset val="134"/>
    </font>
    <font>
      <b/>
      <u val="double"/>
      <sz val="10"/>
      <name val="华文仿宋"/>
      <family val="3"/>
      <charset val="134"/>
    </font>
    <font>
      <sz val="11"/>
      <color theme="1"/>
      <name val="宋体"/>
      <family val="3"/>
      <charset val="134"/>
      <scheme val="minor"/>
    </font>
    <font>
      <sz val="12"/>
      <name val="宋体"/>
      <family val="3"/>
      <charset val="134"/>
    </font>
    <font>
      <sz val="9"/>
      <color theme="1"/>
      <name val="宋体"/>
      <family val="3"/>
      <charset val="134"/>
      <scheme val="minor"/>
    </font>
    <font>
      <sz val="11"/>
      <color theme="1"/>
      <name val="宋体"/>
      <family val="3"/>
      <charset val="134"/>
      <scheme val="minor"/>
    </font>
    <font>
      <sz val="11"/>
      <color indexed="8"/>
      <name val="宋体"/>
      <family val="3"/>
      <charset val="134"/>
    </font>
    <font>
      <sz val="9"/>
      <name val="宋体"/>
      <family val="3"/>
      <charset val="134"/>
    </font>
    <font>
      <b/>
      <sz val="9"/>
      <name val="宋体"/>
      <family val="3"/>
      <charset val="134"/>
    </font>
    <font>
      <sz val="9"/>
      <name val="Tahoma"/>
      <family val="2"/>
    </font>
    <font>
      <b/>
      <sz val="9"/>
      <name val="Tahoma"/>
      <family val="2"/>
    </font>
    <font>
      <sz val="10"/>
      <name val="Arial"/>
      <family val="2"/>
    </font>
    <font>
      <sz val="9"/>
      <name val="Arial"/>
      <family val="2"/>
    </font>
    <font>
      <b/>
      <sz val="10"/>
      <color rgb="FFFFFF00"/>
      <name val="黑体"/>
      <family val="3"/>
      <charset val="134"/>
    </font>
    <font>
      <b/>
      <sz val="12.5"/>
      <color rgb="FFFFFF00"/>
      <name val="黑体"/>
      <family val="3"/>
      <charset val="134"/>
    </font>
    <font>
      <b/>
      <u/>
      <sz val="10"/>
      <color rgb="FFFF0000"/>
      <name val="黑体"/>
      <family val="3"/>
      <charset val="134"/>
    </font>
    <font>
      <b/>
      <sz val="10"/>
      <color rgb="FFFF0000"/>
      <name val="黑体"/>
      <family val="3"/>
      <charset val="134"/>
    </font>
    <font>
      <b/>
      <sz val="12.5"/>
      <color rgb="FFFF0000"/>
      <name val="黑体"/>
      <family val="3"/>
      <charset val="134"/>
    </font>
    <font>
      <b/>
      <sz val="10"/>
      <name val="黑体"/>
      <family val="3"/>
      <charset val="134"/>
    </font>
    <font>
      <b/>
      <sz val="12.5"/>
      <name val="黑体"/>
      <family val="3"/>
      <charset val="134"/>
    </font>
    <font>
      <b/>
      <sz val="7.5"/>
      <name val="黑体"/>
      <family val="3"/>
      <charset val="134"/>
    </font>
    <font>
      <b/>
      <u/>
      <sz val="10"/>
      <color rgb="FF7030A0"/>
      <name val="黑体"/>
      <family val="3"/>
      <charset val="134"/>
    </font>
    <font>
      <b/>
      <sz val="10"/>
      <color rgb="FF7030A0"/>
      <name val="黑体"/>
      <family val="3"/>
      <charset val="134"/>
    </font>
    <font>
      <b/>
      <u/>
      <sz val="10"/>
      <color rgb="FF00B050"/>
      <name val="黑体"/>
      <family val="3"/>
      <charset val="134"/>
    </font>
    <font>
      <b/>
      <sz val="10"/>
      <color rgb="FF00B050"/>
      <name val="黑体"/>
      <family val="3"/>
      <charset val="134"/>
    </font>
    <font>
      <b/>
      <sz val="12.5"/>
      <color rgb="FF00B050"/>
      <name val="黑体"/>
      <family val="3"/>
      <charset val="134"/>
    </font>
    <font>
      <b/>
      <sz val="12.5"/>
      <color rgb="FFC00000"/>
      <name val="黑体"/>
      <family val="3"/>
      <charset val="134"/>
    </font>
    <font>
      <b/>
      <sz val="10"/>
      <color rgb="FFC00000"/>
      <name val="黑体"/>
      <family val="3"/>
      <charset val="134"/>
    </font>
    <font>
      <b/>
      <u/>
      <sz val="10"/>
      <color rgb="FFC00000"/>
      <name val="黑体"/>
      <family val="3"/>
      <charset val="134"/>
    </font>
    <font>
      <b/>
      <i/>
      <sz val="10"/>
      <name val="华文仿宋"/>
      <family val="3"/>
      <charset val="134"/>
    </font>
    <font>
      <b/>
      <i/>
      <sz val="12.5"/>
      <name val="华文仿宋"/>
      <family val="3"/>
      <charset val="134"/>
    </font>
    <font>
      <i/>
      <sz val="10"/>
      <color theme="1"/>
      <name val="华文仿宋"/>
      <family val="3"/>
      <charset val="134"/>
    </font>
    <font>
      <b/>
      <i/>
      <sz val="10"/>
      <name val="黑体"/>
      <family val="3"/>
      <charset val="134"/>
    </font>
    <font>
      <sz val="10"/>
      <name val="黑体"/>
      <family val="3"/>
      <charset val="134"/>
    </font>
    <font>
      <b/>
      <sz val="12"/>
      <name val="华文仿宋"/>
      <family val="3"/>
      <charset val="134"/>
    </font>
    <font>
      <b/>
      <sz val="12"/>
      <name val="黑体"/>
      <family val="3"/>
      <charset val="134"/>
    </font>
    <font>
      <b/>
      <u val="double"/>
      <sz val="12.5"/>
      <name val="黑体"/>
      <family val="3"/>
      <charset val="134"/>
    </font>
    <font>
      <sz val="9"/>
      <name val="黑体"/>
      <family val="3"/>
      <charset val="134"/>
    </font>
    <font>
      <b/>
      <sz val="9"/>
      <name val="黑体"/>
      <family val="3"/>
      <charset val="134"/>
    </font>
    <font>
      <b/>
      <sz val="9"/>
      <color rgb="FFFF0000"/>
      <name val="黑体"/>
      <family val="3"/>
      <charset val="134"/>
    </font>
    <font>
      <b/>
      <u/>
      <sz val="9"/>
      <name val="黑体"/>
      <family val="3"/>
      <charset val="134"/>
    </font>
    <font>
      <b/>
      <u/>
      <sz val="9"/>
      <color rgb="FF00B050"/>
      <name val="黑体"/>
      <family val="3"/>
      <charset val="134"/>
    </font>
    <font>
      <b/>
      <u/>
      <sz val="9"/>
      <color rgb="FFFF0000"/>
      <name val="黑体"/>
      <family val="3"/>
      <charset val="134"/>
    </font>
    <font>
      <b/>
      <u/>
      <sz val="9"/>
      <color rgb="FF7030A0"/>
      <name val="黑体"/>
      <family val="3"/>
      <charset val="134"/>
    </font>
    <font>
      <i/>
      <sz val="9"/>
      <name val="黑体"/>
      <family val="3"/>
      <charset val="134"/>
    </font>
    <font>
      <sz val="9"/>
      <color rgb="FFFF0000"/>
      <name val="黑体"/>
      <family val="3"/>
      <charset val="134"/>
    </font>
    <font>
      <b/>
      <sz val="8"/>
      <name val="黑体"/>
      <family val="3"/>
      <charset val="134"/>
    </font>
    <font>
      <b/>
      <i/>
      <sz val="8"/>
      <name val="黑体"/>
      <family val="3"/>
      <charset val="134"/>
    </font>
    <font>
      <sz val="8"/>
      <name val="黑体"/>
      <family val="3"/>
      <charset val="134"/>
    </font>
    <font>
      <sz val="8"/>
      <name val="华文仿宋"/>
      <family val="3"/>
      <charset val="134"/>
    </font>
    <font>
      <sz val="9"/>
      <color theme="1"/>
      <name val="黑体"/>
      <family val="3"/>
      <charset val="134"/>
    </font>
    <font>
      <sz val="9"/>
      <color rgb="FF7030A0"/>
      <name val="黑体"/>
      <family val="3"/>
      <charset val="134"/>
    </font>
    <font>
      <sz val="9"/>
      <color rgb="FF00B050"/>
      <name val="黑体"/>
      <family val="3"/>
      <charset val="134"/>
    </font>
    <font>
      <sz val="12"/>
      <name val="华文仿宋"/>
      <family val="3"/>
      <charset val="134"/>
    </font>
    <font>
      <sz val="12"/>
      <color rgb="FFFF0000"/>
      <name val="华文仿宋"/>
      <family val="3"/>
      <charset val="134"/>
    </font>
    <font>
      <sz val="12"/>
      <color theme="1"/>
      <name val="华文仿宋"/>
      <family val="3"/>
      <charset val="134"/>
    </font>
    <font>
      <sz val="12"/>
      <name val="黑体"/>
      <family val="3"/>
      <charset val="134"/>
    </font>
    <font>
      <sz val="12"/>
      <color rgb="FF0070C0"/>
      <name val="华文仿宋"/>
      <family val="3"/>
      <charset val="134"/>
    </font>
    <font>
      <sz val="10"/>
      <color rgb="FF7030A0"/>
      <name val="华文仿宋"/>
      <family val="3"/>
      <charset val="134"/>
    </font>
    <font>
      <sz val="10"/>
      <color rgb="FFFF0000"/>
      <name val="黑体"/>
      <family val="3"/>
      <charset val="134"/>
    </font>
    <font>
      <sz val="6"/>
      <name val="黑体"/>
      <family val="3"/>
      <charset val="134"/>
    </font>
    <font>
      <sz val="7"/>
      <name val="黑体"/>
      <family val="3"/>
      <charset val="134"/>
    </font>
    <font>
      <b/>
      <i/>
      <sz val="7.5"/>
      <name val="黑体"/>
      <family val="3"/>
      <charset val="134"/>
    </font>
    <font>
      <sz val="7.5"/>
      <name val="黑体"/>
      <family val="3"/>
      <charset val="134"/>
    </font>
  </fonts>
  <fills count="18">
    <fill>
      <patternFill patternType="none"/>
    </fill>
    <fill>
      <patternFill patternType="gray125"/>
    </fill>
    <fill>
      <patternFill patternType="solid">
        <fgColor theme="2"/>
        <bgColor indexed="64"/>
      </patternFill>
    </fill>
    <fill>
      <patternFill patternType="solid">
        <fgColor theme="6"/>
        <bgColor indexed="64"/>
      </patternFill>
    </fill>
    <fill>
      <patternFill patternType="solid">
        <fgColor theme="9"/>
        <bgColor indexed="64"/>
      </patternFill>
    </fill>
    <fill>
      <patternFill patternType="solid">
        <fgColor theme="8"/>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bgColor indexed="64"/>
      </patternFill>
    </fill>
    <fill>
      <patternFill patternType="solid">
        <fgColor rgb="FF0070C0"/>
        <bgColor indexed="64"/>
      </patternFill>
    </fill>
    <fill>
      <patternFill patternType="solid">
        <fgColor rgb="FF00B0F0"/>
        <bgColor indexed="64"/>
      </patternFill>
    </fill>
    <fill>
      <patternFill patternType="solid">
        <fgColor theme="4"/>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tint="-0.499984740745262"/>
        <bgColor indexed="64"/>
      </patternFill>
    </fill>
    <fill>
      <patternFill patternType="solid">
        <fgColor theme="1" tint="0.499984740745262"/>
        <bgColor indexed="64"/>
      </patternFill>
    </fill>
  </fills>
  <borders count="8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diagonalDown="1">
      <left style="thin">
        <color auto="1"/>
      </left>
      <right style="thin">
        <color auto="1"/>
      </right>
      <top style="thin">
        <color auto="1"/>
      </top>
      <bottom style="thin">
        <color auto="1"/>
      </bottom>
      <diagonal style="thin">
        <color auto="1"/>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right style="thin">
        <color auto="1"/>
      </right>
      <top style="medium">
        <color auto="1"/>
      </top>
      <bottom style="thin">
        <color auto="1"/>
      </bottom>
      <diagonal/>
    </border>
    <border diagonalDown="1">
      <left style="thin">
        <color auto="1"/>
      </left>
      <right style="thin">
        <color auto="1"/>
      </right>
      <top style="medium">
        <color auto="1"/>
      </top>
      <bottom style="thin">
        <color auto="1"/>
      </bottom>
      <diagonal style="thin">
        <color auto="1"/>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style="medium">
        <color auto="1"/>
      </bottom>
      <diagonal/>
    </border>
    <border diagonalDown="1">
      <left style="thin">
        <color auto="1"/>
      </left>
      <right style="thin">
        <color auto="1"/>
      </right>
      <top style="medium">
        <color auto="1"/>
      </top>
      <bottom style="medium">
        <color auto="1"/>
      </bottom>
      <diagonal style="thin">
        <color auto="1"/>
      </diagonal>
    </border>
    <border>
      <left style="thin">
        <color auto="1"/>
      </left>
      <right style="medium">
        <color auto="1"/>
      </right>
      <top style="thin">
        <color auto="1"/>
      </top>
      <bottom style="medium">
        <color auto="1"/>
      </bottom>
      <diagonal/>
    </border>
    <border diagonalUp="1" diagonalDown="1">
      <left style="thin">
        <color auto="1"/>
      </left>
      <right style="medium">
        <color auto="1"/>
      </right>
      <top style="medium">
        <color auto="1"/>
      </top>
      <bottom style="medium">
        <color auto="1"/>
      </bottom>
      <diagonal style="thin">
        <color auto="1"/>
      </diagonal>
    </border>
    <border>
      <left style="thin">
        <color auto="1"/>
      </left>
      <right style="thin">
        <color auto="1"/>
      </right>
      <top style="medium">
        <color auto="1"/>
      </top>
      <bottom/>
      <diagonal/>
    </border>
    <border>
      <left style="medium">
        <color auto="1"/>
      </left>
      <right style="thin">
        <color auto="1"/>
      </right>
      <top style="medium">
        <color auto="1"/>
      </top>
      <bottom style="medium">
        <color auto="1"/>
      </bottom>
      <diagonal/>
    </border>
    <border diagonalDown="1">
      <left style="thin">
        <color auto="1"/>
      </left>
      <right style="thin">
        <color auto="1"/>
      </right>
      <top/>
      <bottom/>
      <diagonal style="thin">
        <color auto="1"/>
      </diagonal>
    </border>
    <border diagonalDown="1">
      <left style="thin">
        <color auto="1"/>
      </left>
      <right style="thin">
        <color auto="1"/>
      </right>
      <top/>
      <bottom style="medium">
        <color auto="1"/>
      </bottom>
      <diagonal style="thin">
        <color auto="1"/>
      </diagonal>
    </border>
    <border>
      <left/>
      <right style="thin">
        <color auto="1"/>
      </right>
      <top style="thin">
        <color auto="1"/>
      </top>
      <bottom style="thin">
        <color auto="1"/>
      </bottom>
      <diagonal/>
    </border>
    <border diagonalDown="1">
      <left style="thin">
        <color auto="1"/>
      </left>
      <right style="thin">
        <color auto="1"/>
      </right>
      <top style="thin">
        <color auto="1"/>
      </top>
      <bottom style="medium">
        <color auto="1"/>
      </bottom>
      <diagonal style="thin">
        <color auto="1"/>
      </diagonal>
    </border>
    <border diagonalUp="1" diagonalDown="1">
      <left style="thin">
        <color auto="1"/>
      </left>
      <right style="thin">
        <color auto="1"/>
      </right>
      <top style="medium">
        <color auto="1"/>
      </top>
      <bottom style="medium">
        <color auto="1"/>
      </bottom>
      <diagonal style="thin">
        <color auto="1"/>
      </diagonal>
    </border>
    <border>
      <left style="medium">
        <color auto="1"/>
      </left>
      <right style="thin">
        <color auto="1"/>
      </right>
      <top style="medium">
        <color auto="1"/>
      </top>
      <bottom/>
      <diagonal/>
    </border>
    <border diagonalUp="1" diagonalDown="1">
      <left style="thin">
        <color auto="1"/>
      </left>
      <right style="thin">
        <color auto="1"/>
      </right>
      <top style="thin">
        <color auto="1"/>
      </top>
      <bottom style="thin">
        <color auto="1"/>
      </bottom>
      <diagonal style="thin">
        <color auto="1"/>
      </diagonal>
    </border>
    <border diagonalUp="1" diagonalDown="1">
      <left style="thin">
        <color auto="1"/>
      </left>
      <right style="thin">
        <color auto="1"/>
      </right>
      <top/>
      <bottom style="thin">
        <color auto="1"/>
      </bottom>
      <diagonal style="thin">
        <color auto="1"/>
      </diagonal>
    </border>
    <border diagonalUp="1" diagonalDown="1">
      <left style="thin">
        <color auto="1"/>
      </left>
      <right style="thin">
        <color auto="1"/>
      </right>
      <top style="thin">
        <color auto="1"/>
      </top>
      <bottom/>
      <diagonal style="thin">
        <color auto="1"/>
      </diagonal>
    </border>
    <border diagonalUp="1" diagonalDown="1">
      <left style="thin">
        <color auto="1"/>
      </left>
      <right style="thin">
        <color auto="1"/>
      </right>
      <top/>
      <bottom/>
      <diagonal style="thin">
        <color auto="1"/>
      </diagonal>
    </border>
    <border diagonalDown="1">
      <left/>
      <right style="thin">
        <color auto="1"/>
      </right>
      <top style="thin">
        <color auto="1"/>
      </top>
      <bottom style="thin">
        <color auto="1"/>
      </bottom>
      <diagonal style="thin">
        <color auto="1"/>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diagonalDown="1">
      <left style="medium">
        <color auto="1"/>
      </left>
      <right style="thin">
        <color auto="1"/>
      </right>
      <top style="thin">
        <color auto="1"/>
      </top>
      <bottom style="thin">
        <color auto="1"/>
      </bottom>
      <diagonal style="thin">
        <color auto="1"/>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diagonalDown="1">
      <left style="thin">
        <color auto="1"/>
      </left>
      <right style="medium">
        <color auto="1"/>
      </right>
      <top style="thin">
        <color auto="1"/>
      </top>
      <bottom style="thin">
        <color auto="1"/>
      </bottom>
      <diagonal style="thin">
        <color auto="1"/>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diagonalDown="1">
      <left style="medium">
        <color auto="1"/>
      </left>
      <right style="thin">
        <color auto="1"/>
      </right>
      <top style="thin">
        <color auto="1"/>
      </top>
      <bottom/>
      <diagonal style="thin">
        <color auto="1"/>
      </diagonal>
    </border>
    <border diagonalDown="1">
      <left style="medium">
        <color auto="1"/>
      </left>
      <right style="thin">
        <color auto="1"/>
      </right>
      <top/>
      <bottom/>
      <diagonal style="thin">
        <color auto="1"/>
      </diagonal>
    </border>
    <border diagonalDown="1">
      <left style="medium">
        <color auto="1"/>
      </left>
      <right style="thin">
        <color auto="1"/>
      </right>
      <top/>
      <bottom style="thin">
        <color auto="1"/>
      </bottom>
      <diagonal style="thin">
        <color auto="1"/>
      </diagonal>
    </border>
    <border>
      <left style="medium">
        <color auto="1"/>
      </left>
      <right style="medium">
        <color auto="1"/>
      </right>
      <top style="thin">
        <color auto="1"/>
      </top>
      <bottom style="medium">
        <color auto="1"/>
      </bottom>
      <diagonal/>
    </border>
    <border>
      <left style="medium">
        <color indexed="64"/>
      </left>
      <right style="medium">
        <color indexed="64"/>
      </right>
      <top style="medium">
        <color indexed="64"/>
      </top>
      <bottom style="thin">
        <color auto="1"/>
      </bottom>
      <diagonal/>
    </border>
    <border diagonalDown="1">
      <left style="medium">
        <color indexed="64"/>
      </left>
      <right style="medium">
        <color indexed="64"/>
      </right>
      <top style="thin">
        <color auto="1"/>
      </top>
      <bottom style="thin">
        <color auto="1"/>
      </bottom>
      <diagonal style="thin">
        <color auto="1"/>
      </diagonal>
    </border>
    <border diagonalDown="1">
      <left style="thin">
        <color auto="1"/>
      </left>
      <right style="medium">
        <color indexed="64"/>
      </right>
      <top style="medium">
        <color indexed="64"/>
      </top>
      <bottom style="medium">
        <color indexed="64"/>
      </bottom>
      <diagonal style="thin">
        <color auto="1"/>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diagonalDown="1">
      <left style="thin">
        <color auto="1"/>
      </left>
      <right/>
      <top style="thin">
        <color auto="1"/>
      </top>
      <bottom/>
      <diagonal style="thin">
        <color auto="1"/>
      </diagonal>
    </border>
    <border diagonalDown="1">
      <left/>
      <right style="thin">
        <color auto="1"/>
      </right>
      <top style="thin">
        <color auto="1"/>
      </top>
      <bottom/>
      <diagonal style="thin">
        <color auto="1"/>
      </diagonal>
    </border>
    <border diagonalDown="1">
      <left style="thin">
        <color auto="1"/>
      </left>
      <right/>
      <top/>
      <bottom/>
      <diagonal style="thin">
        <color auto="1"/>
      </diagonal>
    </border>
    <border diagonalDown="1">
      <left/>
      <right style="thin">
        <color auto="1"/>
      </right>
      <top/>
      <bottom/>
      <diagonal style="thin">
        <color auto="1"/>
      </diagonal>
    </border>
    <border diagonalDown="1">
      <left style="thin">
        <color auto="1"/>
      </left>
      <right/>
      <top/>
      <bottom style="thin">
        <color auto="1"/>
      </bottom>
      <diagonal style="thin">
        <color auto="1"/>
      </diagonal>
    </border>
    <border diagonalDown="1">
      <left/>
      <right style="thin">
        <color auto="1"/>
      </right>
      <top/>
      <bottom style="thin">
        <color auto="1"/>
      </bottom>
      <diagonal style="thin">
        <color auto="1"/>
      </diagonal>
    </border>
  </borders>
  <cellStyleXfs count="27">
    <xf numFmtId="0" fontId="0" fillId="0" borderId="0">
      <alignment vertical="center"/>
    </xf>
    <xf numFmtId="0" fontId="27" fillId="0" borderId="0"/>
    <xf numFmtId="0" fontId="29" fillId="0" borderId="0"/>
    <xf numFmtId="0" fontId="28" fillId="0" borderId="0"/>
    <xf numFmtId="0" fontId="28" fillId="0" borderId="0"/>
    <xf numFmtId="0" fontId="31" fillId="0" borderId="0">
      <alignment vertical="center"/>
    </xf>
    <xf numFmtId="0" fontId="29" fillId="0" borderId="0"/>
    <xf numFmtId="0" fontId="31" fillId="0" borderId="0">
      <alignment vertical="center"/>
    </xf>
    <xf numFmtId="0" fontId="31" fillId="0" borderId="0">
      <alignment vertical="center"/>
    </xf>
    <xf numFmtId="0" fontId="36" fillId="0" borderId="0">
      <alignment vertical="center"/>
    </xf>
    <xf numFmtId="0" fontId="31" fillId="0" borderId="0">
      <alignment vertical="center"/>
    </xf>
    <xf numFmtId="0" fontId="29" fillId="0" borderId="0"/>
    <xf numFmtId="0" fontId="28" fillId="0" borderId="0"/>
    <xf numFmtId="0" fontId="27" fillId="0" borderId="0">
      <alignment vertical="center"/>
    </xf>
    <xf numFmtId="0" fontId="31" fillId="0" borderId="0">
      <alignment vertical="center"/>
    </xf>
    <xf numFmtId="0" fontId="28" fillId="0" borderId="0"/>
    <xf numFmtId="0" fontId="30" fillId="0" borderId="0">
      <alignment vertical="center"/>
    </xf>
    <xf numFmtId="0" fontId="28" fillId="0" borderId="0">
      <alignment vertical="center"/>
    </xf>
    <xf numFmtId="0" fontId="28" fillId="0" borderId="0">
      <alignment vertical="center"/>
    </xf>
    <xf numFmtId="0" fontId="36" fillId="0" borderId="0">
      <alignment vertical="center"/>
    </xf>
    <xf numFmtId="0" fontId="28" fillId="0" borderId="0">
      <alignment vertical="center"/>
    </xf>
    <xf numFmtId="0" fontId="28" fillId="0" borderId="0">
      <alignment vertical="center"/>
    </xf>
    <xf numFmtId="0" fontId="28" fillId="0" borderId="0"/>
    <xf numFmtId="0" fontId="28" fillId="0" borderId="0"/>
    <xf numFmtId="0" fontId="28" fillId="0" borderId="0"/>
    <xf numFmtId="0" fontId="28" fillId="0" borderId="0"/>
    <xf numFmtId="0" fontId="28" fillId="0" borderId="0"/>
  </cellStyleXfs>
  <cellXfs count="998">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49" fontId="1" fillId="0" borderId="0" xfId="0" applyNumberFormat="1" applyFont="1" applyAlignment="1">
      <alignment horizontal="left" vertical="center" wrapText="1"/>
    </xf>
    <xf numFmtId="176" fontId="3" fillId="0" borderId="0" xfId="0" applyNumberFormat="1" applyFont="1" applyAlignment="1">
      <alignment horizontal="right" vertical="center" wrapText="1"/>
    </xf>
    <xf numFmtId="176" fontId="4" fillId="0" borderId="0" xfId="0" applyNumberFormat="1" applyFont="1" applyAlignment="1">
      <alignment horizontal="right" vertical="center" wrapText="1"/>
    </xf>
    <xf numFmtId="176" fontId="5" fillId="0" borderId="0" xfId="0" applyNumberFormat="1" applyFont="1" applyAlignment="1">
      <alignment horizontal="right" vertical="center" wrapText="1"/>
    </xf>
    <xf numFmtId="49" fontId="6" fillId="0" borderId="0" xfId="0" applyNumberFormat="1" applyFont="1" applyAlignment="1">
      <alignment horizontal="left" vertical="center" wrapText="1"/>
    </xf>
    <xf numFmtId="176" fontId="7" fillId="0" borderId="0" xfId="0" applyNumberFormat="1" applyFont="1" applyAlignment="1">
      <alignment horizontal="righ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0" fontId="1" fillId="0" borderId="9" xfId="0" applyFont="1" applyBorder="1" applyAlignment="1">
      <alignment horizontal="left" vertical="center" wrapText="1"/>
    </xf>
    <xf numFmtId="0" fontId="1" fillId="0" borderId="9" xfId="0" applyFont="1" applyBorder="1" applyAlignment="1">
      <alignment horizontal="center" vertical="center" wrapText="1"/>
    </xf>
    <xf numFmtId="0" fontId="1" fillId="0" borderId="13" xfId="0" applyFont="1" applyBorder="1" applyAlignment="1">
      <alignment horizontal="center" vertical="center" wrapText="1"/>
    </xf>
    <xf numFmtId="176" fontId="3" fillId="0" borderId="2" xfId="16" applyNumberFormat="1" applyFont="1" applyBorder="1" applyAlignment="1">
      <alignment vertical="center" wrapText="1"/>
    </xf>
    <xf numFmtId="176" fontId="10" fillId="0" borderId="17" xfId="16" applyNumberFormat="1" applyFont="1" applyBorder="1" applyAlignment="1">
      <alignment horizontal="right" vertical="center" wrapText="1"/>
    </xf>
    <xf numFmtId="176" fontId="10" fillId="0" borderId="2" xfId="16" applyNumberFormat="1" applyFont="1" applyBorder="1" applyAlignment="1">
      <alignment horizontal="right" vertical="center" wrapText="1"/>
    </xf>
    <xf numFmtId="49" fontId="1" fillId="0" borderId="6" xfId="0" applyNumberFormat="1" applyFont="1" applyBorder="1" applyAlignment="1">
      <alignment horizontal="center" vertical="center" wrapText="1"/>
    </xf>
    <xf numFmtId="176" fontId="3" fillId="0" borderId="6" xfId="16" applyNumberFormat="1" applyFont="1" applyBorder="1" applyAlignment="1">
      <alignment vertical="center" wrapText="1"/>
    </xf>
    <xf numFmtId="176" fontId="10" fillId="0" borderId="11" xfId="16" applyNumberFormat="1" applyFont="1" applyBorder="1" applyAlignment="1">
      <alignment horizontal="right" vertical="center" wrapText="1"/>
    </xf>
    <xf numFmtId="176" fontId="10" fillId="0" borderId="6" xfId="16" applyNumberFormat="1" applyFont="1" applyBorder="1" applyAlignment="1">
      <alignment horizontal="right" vertical="center" wrapText="1"/>
    </xf>
    <xf numFmtId="176" fontId="10" fillId="0" borderId="18" xfId="16" applyNumberFormat="1" applyFont="1" applyBorder="1" applyAlignment="1">
      <alignment horizontal="right" vertical="center" wrapText="1"/>
    </xf>
    <xf numFmtId="176" fontId="10" fillId="0" borderId="9" xfId="16" applyNumberFormat="1" applyFont="1" applyBorder="1" applyAlignment="1">
      <alignment horizontal="right" vertical="center" wrapText="1"/>
    </xf>
    <xf numFmtId="176" fontId="10" fillId="0" borderId="10" xfId="16" applyNumberFormat="1" applyFont="1" applyBorder="1" applyAlignment="1">
      <alignment horizontal="right" vertical="center" wrapText="1"/>
    </xf>
    <xf numFmtId="176" fontId="3" fillId="0" borderId="11" xfId="16" applyNumberFormat="1" applyFont="1" applyBorder="1" applyAlignment="1">
      <alignment vertical="center" wrapText="1"/>
    </xf>
    <xf numFmtId="176" fontId="3" fillId="3" borderId="9" xfId="0" applyNumberFormat="1" applyFont="1" applyFill="1" applyBorder="1" applyAlignment="1">
      <alignment horizontal="center" vertical="center" wrapText="1"/>
    </xf>
    <xf numFmtId="176" fontId="3" fillId="0" borderId="2" xfId="0" applyNumberFormat="1" applyFont="1" applyBorder="1" applyAlignment="1">
      <alignment horizontal="right" vertical="center" wrapText="1"/>
    </xf>
    <xf numFmtId="176" fontId="3" fillId="0" borderId="6" xfId="0" applyNumberFormat="1" applyFont="1" applyBorder="1" applyAlignment="1">
      <alignment horizontal="right" vertical="center" wrapText="1"/>
    </xf>
    <xf numFmtId="176" fontId="3" fillId="0" borderId="9" xfId="0" applyNumberFormat="1" applyFont="1" applyBorder="1" applyAlignment="1">
      <alignment horizontal="right" vertical="center" wrapText="1"/>
    </xf>
    <xf numFmtId="176" fontId="3" fillId="0" borderId="10" xfId="0" applyNumberFormat="1" applyFont="1" applyBorder="1" applyAlignment="1">
      <alignment horizontal="right" vertical="center" wrapText="1"/>
    </xf>
    <xf numFmtId="176" fontId="3" fillId="0" borderId="11" xfId="0" applyNumberFormat="1" applyFont="1" applyBorder="1" applyAlignment="1">
      <alignment horizontal="right" vertical="center" wrapText="1"/>
    </xf>
    <xf numFmtId="176" fontId="3" fillId="4" borderId="9" xfId="0" applyNumberFormat="1" applyFont="1" applyFill="1" applyBorder="1" applyAlignment="1">
      <alignment horizontal="center" vertical="center" wrapText="1"/>
    </xf>
    <xf numFmtId="49" fontId="3" fillId="4" borderId="9" xfId="0" applyNumberFormat="1" applyFont="1" applyFill="1" applyBorder="1" applyAlignment="1">
      <alignment horizontal="center" vertical="center" wrapText="1"/>
    </xf>
    <xf numFmtId="49" fontId="6" fillId="0" borderId="2" xfId="0" applyNumberFormat="1" applyFont="1" applyBorder="1" applyAlignment="1">
      <alignment horizontal="left" vertical="center" wrapText="1"/>
    </xf>
    <xf numFmtId="49" fontId="6" fillId="0" borderId="6" xfId="0" applyNumberFormat="1" applyFont="1" applyBorder="1" applyAlignment="1">
      <alignment horizontal="left" vertical="center" wrapText="1"/>
    </xf>
    <xf numFmtId="49" fontId="6" fillId="0" borderId="11" xfId="0" applyNumberFormat="1" applyFont="1" applyBorder="1" applyAlignment="1">
      <alignment horizontal="left" vertical="center" wrapText="1"/>
    </xf>
    <xf numFmtId="49" fontId="6" fillId="0" borderId="10" xfId="0" applyNumberFormat="1" applyFont="1" applyBorder="1" applyAlignment="1">
      <alignment horizontal="left" vertical="center" wrapText="1"/>
    </xf>
    <xf numFmtId="0" fontId="6" fillId="0" borderId="10" xfId="0" applyFont="1" applyBorder="1" applyAlignment="1">
      <alignment horizontal="left" vertical="center" wrapText="1"/>
    </xf>
    <xf numFmtId="176" fontId="6" fillId="0" borderId="10" xfId="0" applyNumberFormat="1" applyFont="1" applyBorder="1" applyAlignment="1">
      <alignment horizontal="right" vertical="center" wrapText="1"/>
    </xf>
    <xf numFmtId="0" fontId="6" fillId="0" borderId="6" xfId="0" applyFont="1" applyBorder="1" applyAlignment="1">
      <alignment horizontal="left" vertical="center" wrapText="1"/>
    </xf>
    <xf numFmtId="176" fontId="6" fillId="0" borderId="6" xfId="0" applyNumberFormat="1" applyFont="1" applyBorder="1" applyAlignment="1">
      <alignment horizontal="right" vertical="center" wrapText="1"/>
    </xf>
    <xf numFmtId="0" fontId="12" fillId="0" borderId="0" xfId="0" applyFont="1" applyAlignment="1">
      <alignment horizontal="center" vertical="center" wrapText="1"/>
    </xf>
    <xf numFmtId="0" fontId="3" fillId="0" borderId="32" xfId="0" applyFont="1" applyBorder="1" applyAlignment="1">
      <alignment horizontal="left" vertical="center" wrapText="1"/>
    </xf>
    <xf numFmtId="176" fontId="10" fillId="0" borderId="8" xfId="16" applyNumberFormat="1" applyFont="1" applyBorder="1" applyAlignment="1">
      <alignment horizontal="right" vertical="center" wrapText="1"/>
    </xf>
    <xf numFmtId="176" fontId="9" fillId="0" borderId="0" xfId="0" applyNumberFormat="1" applyFont="1" applyAlignment="1">
      <alignment horizontal="right" vertical="center" wrapText="1"/>
    </xf>
    <xf numFmtId="176" fontId="3" fillId="0" borderId="8" xfId="0" applyNumberFormat="1" applyFont="1" applyBorder="1" applyAlignment="1">
      <alignment horizontal="right" vertical="center" wrapText="1"/>
    </xf>
    <xf numFmtId="176" fontId="13" fillId="0" borderId="0" xfId="0" applyNumberFormat="1" applyFont="1" applyAlignment="1">
      <alignment horizontal="right" vertical="center" wrapText="1"/>
    </xf>
    <xf numFmtId="49" fontId="6" fillId="0" borderId="8" xfId="0" applyNumberFormat="1" applyFont="1" applyBorder="1" applyAlignment="1">
      <alignment horizontal="left" vertical="center" wrapText="1"/>
    </xf>
    <xf numFmtId="0" fontId="14" fillId="0" borderId="0" xfId="0" applyFont="1" applyAlignment="1">
      <alignment horizontal="right" vertical="center" wrapText="1"/>
    </xf>
    <xf numFmtId="49" fontId="15" fillId="0" borderId="0" xfId="0" applyNumberFormat="1" applyFont="1" applyAlignment="1">
      <alignment horizontal="left" vertical="center" wrapText="1"/>
    </xf>
    <xf numFmtId="176" fontId="16" fillId="0" borderId="0" xfId="0" applyNumberFormat="1" applyFont="1" applyAlignment="1">
      <alignment horizontal="right" vertical="center" wrapText="1"/>
    </xf>
    <xf numFmtId="0" fontId="2" fillId="0" borderId="0" xfId="0" applyFont="1" applyAlignment="1">
      <alignment horizontal="left" vertical="center" wrapText="1"/>
    </xf>
    <xf numFmtId="0" fontId="1" fillId="0" borderId="18" xfId="0" applyFont="1" applyBorder="1" applyAlignment="1">
      <alignment horizontal="left" vertical="center" wrapText="1"/>
    </xf>
    <xf numFmtId="0" fontId="1" fillId="0" borderId="18" xfId="0" applyFont="1" applyBorder="1" applyAlignment="1">
      <alignment horizontal="center" vertical="center" wrapText="1"/>
    </xf>
    <xf numFmtId="176" fontId="3" fillId="0" borderId="9" xfId="16" applyNumberFormat="1" applyFont="1" applyBorder="1" applyAlignment="1">
      <alignment horizontal="right" vertical="center" wrapText="1"/>
    </xf>
    <xf numFmtId="49" fontId="1" fillId="0" borderId="18" xfId="0" applyNumberFormat="1" applyFont="1" applyBorder="1" applyAlignment="1">
      <alignment horizontal="center" vertical="center" wrapText="1"/>
    </xf>
    <xf numFmtId="176" fontId="3" fillId="0" borderId="6" xfId="16" applyNumberFormat="1" applyFont="1" applyBorder="1" applyAlignment="1">
      <alignment horizontal="right" vertical="center" wrapText="1"/>
    </xf>
    <xf numFmtId="176" fontId="3" fillId="0" borderId="17" xfId="0" applyNumberFormat="1" applyFont="1" applyBorder="1" applyAlignment="1">
      <alignment horizontal="right" vertical="center" wrapText="1"/>
    </xf>
    <xf numFmtId="49" fontId="6" fillId="0" borderId="17" xfId="0" applyNumberFormat="1" applyFont="1" applyBorder="1" applyAlignment="1">
      <alignment horizontal="left" vertical="center" wrapText="1"/>
    </xf>
    <xf numFmtId="176" fontId="3" fillId="0" borderId="6" xfId="0" applyNumberFormat="1" applyFont="1" applyBorder="1" applyAlignment="1">
      <alignment vertical="center" wrapText="1"/>
    </xf>
    <xf numFmtId="49" fontId="6" fillId="0" borderId="46" xfId="0" applyNumberFormat="1" applyFont="1" applyBorder="1" applyAlignment="1">
      <alignment horizontal="left" vertical="center" wrapText="1"/>
    </xf>
    <xf numFmtId="176" fontId="3" fillId="0" borderId="46" xfId="0" applyNumberFormat="1" applyFont="1" applyBorder="1" applyAlignment="1">
      <alignment horizontal="right" vertical="center" wrapText="1"/>
    </xf>
    <xf numFmtId="176" fontId="10" fillId="0" borderId="50" xfId="16" applyNumberFormat="1" applyFont="1" applyBorder="1" applyAlignment="1">
      <alignment horizontal="right" vertical="center" wrapText="1"/>
    </xf>
    <xf numFmtId="176" fontId="10" fillId="0" borderId="49" xfId="16" applyNumberFormat="1" applyFont="1" applyBorder="1" applyAlignment="1">
      <alignment horizontal="right" vertical="center" wrapText="1"/>
    </xf>
    <xf numFmtId="176" fontId="10" fillId="8" borderId="6" xfId="16" applyNumberFormat="1" applyFont="1" applyFill="1" applyBorder="1" applyAlignment="1">
      <alignment horizontal="right" vertical="center" wrapText="1"/>
    </xf>
    <xf numFmtId="176" fontId="3" fillId="0" borderId="49" xfId="0" applyNumberFormat="1" applyFont="1" applyBorder="1" applyAlignment="1">
      <alignment horizontal="right" vertical="center" wrapText="1"/>
    </xf>
    <xf numFmtId="176" fontId="18" fillId="0" borderId="6" xfId="16" applyNumberFormat="1" applyFont="1" applyBorder="1" applyAlignment="1">
      <alignment horizontal="right" vertical="center" wrapText="1"/>
    </xf>
    <xf numFmtId="176" fontId="3" fillId="3" borderId="8" xfId="0" applyNumberFormat="1" applyFont="1" applyFill="1" applyBorder="1" applyAlignment="1">
      <alignment horizontal="center" vertical="center" wrapText="1"/>
    </xf>
    <xf numFmtId="176" fontId="3" fillId="0" borderId="50" xfId="0" applyNumberFormat="1" applyFont="1" applyBorder="1" applyAlignment="1">
      <alignment horizontal="right" vertical="center" wrapText="1"/>
    </xf>
    <xf numFmtId="49" fontId="6" fillId="9" borderId="10" xfId="0" applyNumberFormat="1" applyFont="1" applyFill="1" applyBorder="1" applyAlignment="1">
      <alignment horizontal="left" vertical="center" wrapText="1"/>
    </xf>
    <xf numFmtId="176" fontId="3" fillId="9" borderId="10" xfId="0" applyNumberFormat="1" applyFont="1" applyFill="1" applyBorder="1" applyAlignment="1">
      <alignment horizontal="right" vertical="center" wrapText="1"/>
    </xf>
    <xf numFmtId="49" fontId="6" fillId="9" borderId="6" xfId="0" applyNumberFormat="1" applyFont="1" applyFill="1" applyBorder="1" applyAlignment="1">
      <alignment horizontal="left" vertical="center" wrapText="1"/>
    </xf>
    <xf numFmtId="176" fontId="3" fillId="9" borderId="6" xfId="0" applyNumberFormat="1" applyFont="1" applyFill="1" applyBorder="1" applyAlignment="1">
      <alignment horizontal="right" vertical="center" wrapText="1"/>
    </xf>
    <xf numFmtId="49" fontId="6" fillId="0" borderId="49" xfId="0" applyNumberFormat="1" applyFont="1" applyBorder="1" applyAlignment="1">
      <alignment horizontal="left" vertical="center" wrapText="1"/>
    </xf>
    <xf numFmtId="49" fontId="19" fillId="0" borderId="11" xfId="0" applyNumberFormat="1" applyFont="1" applyBorder="1" applyAlignment="1">
      <alignment horizontal="left" vertical="center" wrapText="1"/>
    </xf>
    <xf numFmtId="176" fontId="20" fillId="0" borderId="11" xfId="0" applyNumberFormat="1" applyFont="1" applyBorder="1" applyAlignment="1">
      <alignment horizontal="right" vertical="center" wrapText="1"/>
    </xf>
    <xf numFmtId="0" fontId="1" fillId="0" borderId="32" xfId="0" applyFont="1" applyBorder="1" applyAlignment="1">
      <alignment horizontal="left" vertical="center" wrapText="1"/>
    </xf>
    <xf numFmtId="0" fontId="1" fillId="0" borderId="6" xfId="0" applyFont="1" applyBorder="1" applyAlignment="1">
      <alignment horizontal="left" vertical="center"/>
    </xf>
    <xf numFmtId="49" fontId="1" fillId="0" borderId="6" xfId="0" applyNumberFormat="1" applyFont="1" applyBorder="1" applyAlignment="1">
      <alignment vertical="center" wrapText="1"/>
    </xf>
    <xf numFmtId="176" fontId="23" fillId="0" borderId="6" xfId="0" applyNumberFormat="1" applyFont="1" applyBorder="1" applyAlignment="1">
      <alignment horizontal="right" vertical="center" wrapText="1"/>
    </xf>
    <xf numFmtId="176" fontId="4" fillId="0" borderId="11" xfId="16" applyNumberFormat="1" applyFont="1" applyBorder="1" applyAlignment="1">
      <alignment horizontal="right" vertical="center" wrapText="1"/>
    </xf>
    <xf numFmtId="176" fontId="10" fillId="0" borderId="53" xfId="16" applyNumberFormat="1" applyFont="1" applyBorder="1" applyAlignment="1">
      <alignment horizontal="right" vertical="center" wrapText="1"/>
    </xf>
    <xf numFmtId="176" fontId="1" fillId="0" borderId="6" xfId="0" applyNumberFormat="1" applyFont="1" applyBorder="1" applyAlignment="1">
      <alignment horizontal="right" vertical="center" wrapText="1"/>
    </xf>
    <xf numFmtId="176" fontId="1" fillId="0" borderId="8" xfId="0" applyNumberFormat="1" applyFont="1" applyBorder="1" applyAlignment="1">
      <alignment horizontal="right" vertical="center" wrapText="1"/>
    </xf>
    <xf numFmtId="0" fontId="1" fillId="0" borderId="39" xfId="0" applyFont="1" applyBorder="1" applyAlignment="1">
      <alignment horizontal="left" vertical="center" wrapText="1"/>
    </xf>
    <xf numFmtId="176" fontId="17" fillId="0" borderId="5" xfId="16" applyNumberFormat="1" applyFont="1" applyBorder="1" applyAlignment="1">
      <alignment vertical="center" wrapText="1"/>
    </xf>
    <xf numFmtId="176" fontId="1" fillId="0" borderId="5" xfId="0" applyNumberFormat="1" applyFont="1" applyBorder="1" applyAlignment="1">
      <alignment horizontal="right" vertical="center" wrapText="1"/>
    </xf>
    <xf numFmtId="176" fontId="17" fillId="0" borderId="6" xfId="16" applyNumberFormat="1" applyFont="1" applyBorder="1" applyAlignment="1">
      <alignment vertical="center" wrapText="1"/>
    </xf>
    <xf numFmtId="0" fontId="1" fillId="0" borderId="0" xfId="0" applyFont="1" applyAlignment="1" applyProtection="1">
      <alignment horizontal="center" vertical="center" wrapText="1"/>
      <protection locked="0"/>
    </xf>
    <xf numFmtId="0" fontId="25" fillId="0" borderId="0" xfId="0" applyFont="1" applyAlignment="1" applyProtection="1">
      <alignment horizontal="center" vertical="center" wrapText="1"/>
      <protection locked="0"/>
    </xf>
    <xf numFmtId="0" fontId="1" fillId="0" borderId="0" xfId="0" applyFont="1" applyAlignment="1" applyProtection="1">
      <alignment horizontal="left" vertical="center" wrapText="1"/>
      <protection locked="0"/>
    </xf>
    <xf numFmtId="49" fontId="1" fillId="0" borderId="0" xfId="0" applyNumberFormat="1" applyFont="1" applyAlignment="1" applyProtection="1">
      <alignment horizontal="center" vertical="center" wrapText="1"/>
      <protection locked="0"/>
    </xf>
    <xf numFmtId="176" fontId="25" fillId="0" borderId="0" xfId="0" applyNumberFormat="1" applyFont="1" applyAlignment="1" applyProtection="1">
      <alignment horizontal="center" vertical="center" wrapText="1"/>
      <protection locked="0"/>
    </xf>
    <xf numFmtId="49" fontId="6" fillId="0" borderId="9" xfId="0" applyNumberFormat="1" applyFont="1" applyBorder="1" applyAlignment="1">
      <alignment horizontal="left" vertical="center" wrapText="1"/>
    </xf>
    <xf numFmtId="49" fontId="1" fillId="0" borderId="11" xfId="0" applyNumberFormat="1" applyFont="1" applyBorder="1" applyAlignment="1">
      <alignment horizontal="center" vertical="center" wrapText="1"/>
    </xf>
    <xf numFmtId="0" fontId="1" fillId="12" borderId="6" xfId="0" applyFont="1" applyFill="1" applyBorder="1" applyAlignment="1">
      <alignment horizontal="center" vertical="center" wrapText="1"/>
    </xf>
    <xf numFmtId="176" fontId="1" fillId="0" borderId="0" xfId="0" applyNumberFormat="1" applyFont="1" applyAlignment="1" applyProtection="1">
      <alignment horizontal="right" vertical="center" wrapText="1"/>
      <protection locked="0"/>
    </xf>
    <xf numFmtId="176" fontId="3" fillId="0" borderId="0" xfId="0" applyNumberFormat="1" applyFont="1" applyAlignment="1" applyProtection="1">
      <alignment horizontal="right" vertical="center" wrapText="1"/>
      <protection locked="0"/>
    </xf>
    <xf numFmtId="176" fontId="1" fillId="0" borderId="10" xfId="0" applyNumberFormat="1" applyFont="1" applyBorder="1" applyAlignment="1">
      <alignment vertical="center" wrapText="1"/>
    </xf>
    <xf numFmtId="176" fontId="1" fillId="0" borderId="6" xfId="0" applyNumberFormat="1" applyFont="1" applyBorder="1" applyAlignment="1">
      <alignment vertical="center" wrapText="1"/>
    </xf>
    <xf numFmtId="176" fontId="1" fillId="0" borderId="11" xfId="0" applyNumberFormat="1" applyFont="1" applyBorder="1" applyAlignment="1">
      <alignment vertical="center" wrapText="1"/>
    </xf>
    <xf numFmtId="176" fontId="1" fillId="0" borderId="32" xfId="0" applyNumberFormat="1" applyFont="1" applyBorder="1" applyAlignment="1">
      <alignment horizontal="right" vertical="center" wrapText="1"/>
    </xf>
    <xf numFmtId="176" fontId="3" fillId="0" borderId="32" xfId="0" applyNumberFormat="1" applyFont="1" applyBorder="1" applyAlignment="1">
      <alignment horizontal="right" vertical="center" wrapText="1"/>
    </xf>
    <xf numFmtId="0" fontId="1" fillId="0" borderId="59" xfId="0" applyFont="1" applyBorder="1" applyAlignment="1">
      <alignment horizontal="center" vertical="center" wrapText="1"/>
    </xf>
    <xf numFmtId="176" fontId="3" fillId="3" borderId="39" xfId="0" applyNumberFormat="1" applyFont="1" applyFill="1" applyBorder="1" applyAlignment="1">
      <alignment horizontal="center" vertical="center" wrapText="1"/>
    </xf>
    <xf numFmtId="176" fontId="3" fillId="4" borderId="8" xfId="0" applyNumberFormat="1" applyFont="1" applyFill="1" applyBorder="1" applyAlignment="1">
      <alignment horizontal="center" vertical="center" wrapText="1"/>
    </xf>
    <xf numFmtId="176" fontId="1" fillId="0" borderId="10" xfId="0" applyNumberFormat="1" applyFont="1" applyBorder="1" applyAlignment="1">
      <alignment horizontal="right" vertical="center" wrapText="1"/>
    </xf>
    <xf numFmtId="176" fontId="1" fillId="0" borderId="9" xfId="0" applyNumberFormat="1" applyFont="1" applyBorder="1" applyAlignment="1">
      <alignment horizontal="right" vertical="center" wrapText="1"/>
    </xf>
    <xf numFmtId="176" fontId="3" fillId="3" borderId="7" xfId="0" applyNumberFormat="1" applyFont="1" applyFill="1" applyBorder="1" applyAlignment="1">
      <alignment horizontal="center" vertical="center" wrapText="1"/>
    </xf>
    <xf numFmtId="49" fontId="1" fillId="0" borderId="32" xfId="0" applyNumberFormat="1" applyFont="1" applyBorder="1" applyAlignment="1">
      <alignment horizontal="center" vertical="center" wrapText="1"/>
    </xf>
    <xf numFmtId="0" fontId="3" fillId="4" borderId="8" xfId="0" applyFont="1" applyFill="1" applyBorder="1" applyAlignment="1">
      <alignment horizontal="center" vertical="center" wrapText="1"/>
    </xf>
    <xf numFmtId="0" fontId="1" fillId="0" borderId="11" xfId="0" applyFont="1" applyBorder="1" applyAlignment="1">
      <alignment horizontal="center" vertical="center" wrapText="1"/>
    </xf>
    <xf numFmtId="0" fontId="25" fillId="0" borderId="0" xfId="0" applyFont="1" applyAlignment="1">
      <alignment horizontal="center" vertical="center" wrapText="1"/>
    </xf>
    <xf numFmtId="176" fontId="43" fillId="0" borderId="0" xfId="0" applyNumberFormat="1" applyFont="1" applyAlignment="1" applyProtection="1">
      <alignment horizontal="right" vertical="center" wrapText="1"/>
      <protection locked="0"/>
    </xf>
    <xf numFmtId="176" fontId="1" fillId="0" borderId="11" xfId="0" applyNumberFormat="1" applyFont="1" applyBorder="1" applyAlignment="1">
      <alignment horizontal="right" vertical="center" wrapText="1"/>
    </xf>
    <xf numFmtId="176" fontId="17" fillId="0" borderId="6" xfId="16" applyNumberFormat="1" applyFont="1" applyBorder="1" applyAlignment="1">
      <alignment horizontal="right" vertical="center" wrapText="1"/>
    </xf>
    <xf numFmtId="176" fontId="17" fillId="0" borderId="11" xfId="16" applyNumberFormat="1" applyFont="1" applyBorder="1" applyAlignment="1">
      <alignment horizontal="right" vertical="center" wrapText="1"/>
    </xf>
    <xf numFmtId="176" fontId="1" fillId="0" borderId="6" xfId="0" applyNumberFormat="1" applyFont="1" applyBorder="1">
      <alignment vertical="center"/>
    </xf>
    <xf numFmtId="0" fontId="1" fillId="0" borderId="11" xfId="0" applyFont="1" applyBorder="1" applyAlignment="1">
      <alignment horizontal="left" vertical="center" wrapText="1"/>
    </xf>
    <xf numFmtId="49" fontId="1" fillId="0" borderId="11" xfId="0" applyNumberFormat="1" applyFont="1" applyBorder="1" applyAlignment="1">
      <alignment horizontal="right" vertical="center" wrapText="1"/>
    </xf>
    <xf numFmtId="176" fontId="41" fillId="0" borderId="11" xfId="0" applyNumberFormat="1" applyFont="1" applyBorder="1" applyAlignment="1">
      <alignment horizontal="right" vertical="center" wrapText="1"/>
    </xf>
    <xf numFmtId="0" fontId="1" fillId="0" borderId="25" xfId="0" applyFont="1" applyBorder="1" applyAlignment="1">
      <alignment horizontal="center" vertical="center" wrapText="1"/>
    </xf>
    <xf numFmtId="49" fontId="1" fillId="0" borderId="61" xfId="0" applyNumberFormat="1" applyFont="1" applyBorder="1" applyAlignment="1">
      <alignment horizontal="center" vertical="center" wrapText="1"/>
    </xf>
    <xf numFmtId="176" fontId="17" fillId="0" borderId="5" xfId="16" applyNumberFormat="1" applyFont="1" applyBorder="1" applyAlignment="1">
      <alignment horizontal="right" vertical="center" wrapText="1"/>
    </xf>
    <xf numFmtId="176" fontId="17" fillId="0" borderId="32" xfId="16" applyNumberFormat="1" applyFont="1" applyBorder="1" applyAlignment="1">
      <alignment horizontal="right" vertical="center" wrapText="1"/>
    </xf>
    <xf numFmtId="176" fontId="17" fillId="0" borderId="32" xfId="16" applyNumberFormat="1" applyFont="1" applyBorder="1" applyAlignment="1">
      <alignment vertical="center" wrapText="1"/>
    </xf>
    <xf numFmtId="176" fontId="17" fillId="0" borderId="56" xfId="16" applyNumberFormat="1" applyFont="1" applyBorder="1" applyAlignment="1">
      <alignment horizontal="right" vertical="center" wrapText="1"/>
    </xf>
    <xf numFmtId="176" fontId="22" fillId="0" borderId="5" xfId="16" applyNumberFormat="1" applyFont="1" applyBorder="1" applyAlignment="1">
      <alignment horizontal="right" vertical="center" wrapText="1"/>
    </xf>
    <xf numFmtId="176" fontId="17" fillId="0" borderId="61" xfId="16" applyNumberFormat="1" applyFont="1" applyBorder="1" applyAlignment="1">
      <alignment horizontal="right" vertical="center" wrapText="1"/>
    </xf>
    <xf numFmtId="176" fontId="3" fillId="0" borderId="61" xfId="0" applyNumberFormat="1" applyFont="1" applyBorder="1" applyAlignment="1">
      <alignment horizontal="right" vertical="center" wrapText="1"/>
    </xf>
    <xf numFmtId="176" fontId="3" fillId="0" borderId="32" xfId="0" applyNumberFormat="1" applyFont="1" applyBorder="1" applyAlignment="1">
      <alignment vertical="center" wrapText="1"/>
    </xf>
    <xf numFmtId="0" fontId="1" fillId="0" borderId="59" xfId="0" applyFont="1" applyBorder="1" applyAlignment="1">
      <alignment horizontal="left" vertical="center" wrapText="1"/>
    </xf>
    <xf numFmtId="0" fontId="1" fillId="0" borderId="69" xfId="0" applyFont="1" applyBorder="1" applyAlignment="1">
      <alignment horizontal="left" vertical="center" wrapText="1"/>
    </xf>
    <xf numFmtId="176" fontId="1" fillId="0" borderId="5" xfId="19" applyNumberFormat="1" applyFont="1" applyBorder="1" applyAlignment="1">
      <alignment horizontal="right" vertical="center" wrapText="1"/>
    </xf>
    <xf numFmtId="176" fontId="1" fillId="0" borderId="61" xfId="0" applyNumberFormat="1" applyFont="1" applyBorder="1" applyAlignment="1">
      <alignment horizontal="right" vertical="center" wrapText="1"/>
    </xf>
    <xf numFmtId="176" fontId="1" fillId="0" borderId="56" xfId="0" applyNumberFormat="1" applyFont="1" applyBorder="1" applyAlignment="1">
      <alignment horizontal="right" vertical="center" wrapText="1"/>
    </xf>
    <xf numFmtId="176" fontId="17" fillId="0" borderId="25" xfId="16" applyNumberFormat="1" applyFont="1" applyBorder="1" applyAlignment="1">
      <alignment horizontal="right" vertical="center" wrapText="1"/>
    </xf>
    <xf numFmtId="0" fontId="1" fillId="0" borderId="6" xfId="0" applyFont="1" applyBorder="1" applyAlignment="1">
      <alignment horizontal="right" vertical="center" wrapText="1"/>
    </xf>
    <xf numFmtId="176" fontId="41" fillId="0" borderId="6" xfId="0" applyNumberFormat="1" applyFont="1" applyBorder="1" applyAlignment="1">
      <alignment horizontal="right" vertical="center" wrapText="1"/>
    </xf>
    <xf numFmtId="176" fontId="47" fillId="0" borderId="5" xfId="0" applyNumberFormat="1" applyFont="1" applyBorder="1" applyAlignment="1">
      <alignment horizontal="right" vertical="center" wrapText="1"/>
    </xf>
    <xf numFmtId="176" fontId="47" fillId="0" borderId="56" xfId="0" applyNumberFormat="1" applyFont="1" applyBorder="1" applyAlignment="1">
      <alignment horizontal="right" vertical="center" wrapText="1"/>
    </xf>
    <xf numFmtId="176" fontId="47" fillId="0" borderId="0" xfId="0" applyNumberFormat="1" applyFont="1" applyAlignment="1" applyProtection="1">
      <alignment horizontal="right" vertical="center" wrapText="1"/>
      <protection locked="0"/>
    </xf>
    <xf numFmtId="176" fontId="49" fillId="0" borderId="32" xfId="0" applyNumberFormat="1" applyFont="1" applyBorder="1" applyAlignment="1">
      <alignment horizontal="right" vertical="center" wrapText="1"/>
    </xf>
    <xf numFmtId="176" fontId="49" fillId="0" borderId="61" xfId="0" applyNumberFormat="1" applyFont="1" applyBorder="1" applyAlignment="1">
      <alignment horizontal="right" vertical="center" wrapText="1"/>
    </xf>
    <xf numFmtId="176" fontId="49" fillId="0" borderId="32" xfId="0" applyNumberFormat="1" applyFont="1" applyBorder="1" applyAlignment="1">
      <alignment vertical="center" wrapText="1"/>
    </xf>
    <xf numFmtId="176" fontId="49" fillId="0" borderId="0" xfId="0" applyNumberFormat="1" applyFont="1" applyAlignment="1" applyProtection="1">
      <alignment horizontal="right" vertical="center" wrapText="1"/>
      <protection locked="0"/>
    </xf>
    <xf numFmtId="176" fontId="40" fillId="3" borderId="8" xfId="0" applyNumberFormat="1" applyFont="1" applyFill="1" applyBorder="1" applyAlignment="1">
      <alignment horizontal="center" vertical="center" wrapText="1"/>
    </xf>
    <xf numFmtId="176" fontId="46" fillId="4" borderId="8" xfId="0" applyNumberFormat="1" applyFont="1" applyFill="1" applyBorder="1" applyAlignment="1">
      <alignment horizontal="center" vertical="center" wrapText="1"/>
    </xf>
    <xf numFmtId="176" fontId="47" fillId="0" borderId="6" xfId="0" applyNumberFormat="1" applyFont="1" applyBorder="1" applyAlignment="1">
      <alignment horizontal="right" vertical="center" wrapText="1"/>
    </xf>
    <xf numFmtId="176" fontId="49" fillId="0" borderId="6" xfId="0" applyNumberFormat="1" applyFont="1" applyBorder="1" applyAlignment="1">
      <alignment horizontal="right" vertical="center" wrapText="1"/>
    </xf>
    <xf numFmtId="176" fontId="42" fillId="0" borderId="0" xfId="0" applyNumberFormat="1" applyFont="1" applyAlignment="1">
      <alignment horizontal="right" vertical="center" wrapText="1"/>
    </xf>
    <xf numFmtId="176" fontId="41" fillId="0" borderId="0" xfId="0" applyNumberFormat="1" applyFont="1" applyAlignment="1">
      <alignment horizontal="right" vertical="center" wrapText="1"/>
    </xf>
    <xf numFmtId="176" fontId="49" fillId="0" borderId="9" xfId="0" applyNumberFormat="1" applyFont="1" applyBorder="1" applyAlignment="1">
      <alignment horizontal="right" vertical="center" wrapText="1"/>
    </xf>
    <xf numFmtId="176" fontId="49" fillId="0" borderId="10" xfId="0" applyNumberFormat="1" applyFont="1" applyBorder="1" applyAlignment="1">
      <alignment horizontal="right" vertical="center" wrapText="1"/>
    </xf>
    <xf numFmtId="176" fontId="50" fillId="0" borderId="0" xfId="0" applyNumberFormat="1" applyFont="1" applyAlignment="1">
      <alignment horizontal="right" vertical="center" wrapText="1"/>
    </xf>
    <xf numFmtId="176" fontId="49" fillId="0" borderId="0" xfId="0" applyNumberFormat="1" applyFont="1" applyAlignment="1">
      <alignment horizontal="right" vertical="center" wrapText="1"/>
    </xf>
    <xf numFmtId="176" fontId="47" fillId="0" borderId="9" xfId="0" applyNumberFormat="1" applyFont="1" applyBorder="1" applyAlignment="1">
      <alignment horizontal="right" vertical="center" wrapText="1"/>
    </xf>
    <xf numFmtId="0" fontId="39" fillId="0" borderId="0" xfId="0" applyFont="1" applyAlignment="1">
      <alignment horizontal="right" vertical="center" wrapText="1"/>
    </xf>
    <xf numFmtId="176" fontId="38" fillId="0" borderId="0" xfId="0" applyNumberFormat="1" applyFont="1" applyAlignment="1">
      <alignment horizontal="right" vertical="center" wrapText="1"/>
    </xf>
    <xf numFmtId="176" fontId="41" fillId="0" borderId="6" xfId="0" applyNumberFormat="1" applyFont="1" applyBorder="1" applyAlignment="1">
      <alignment vertical="center" wrapText="1"/>
    </xf>
    <xf numFmtId="176" fontId="47" fillId="0" borderId="6" xfId="0" applyNumberFormat="1" applyFont="1" applyBorder="1" applyAlignment="1">
      <alignment vertical="center" wrapText="1"/>
    </xf>
    <xf numFmtId="176" fontId="49" fillId="0" borderId="6" xfId="0" applyNumberFormat="1" applyFont="1" applyBorder="1" applyAlignment="1">
      <alignment vertical="center" wrapText="1"/>
    </xf>
    <xf numFmtId="0" fontId="44" fillId="0" borderId="0" xfId="0" applyFont="1" applyAlignment="1">
      <alignment horizontal="right" vertical="center" wrapText="1"/>
    </xf>
    <xf numFmtId="176" fontId="51" fillId="0" borderId="0" xfId="0" applyNumberFormat="1" applyFont="1" applyAlignment="1">
      <alignment horizontal="right" vertical="center" wrapText="1"/>
    </xf>
    <xf numFmtId="176" fontId="52" fillId="0" borderId="0" xfId="0" applyNumberFormat="1" applyFont="1" applyAlignment="1">
      <alignment horizontal="right" vertical="center" wrapText="1"/>
    </xf>
    <xf numFmtId="176" fontId="52" fillId="0" borderId="9" xfId="0" applyNumberFormat="1" applyFont="1" applyBorder="1" applyAlignment="1">
      <alignment horizontal="right" vertical="center" wrapText="1"/>
    </xf>
    <xf numFmtId="176" fontId="52" fillId="0" borderId="6" xfId="0" applyNumberFormat="1" applyFont="1" applyBorder="1" applyAlignment="1">
      <alignment horizontal="right" vertical="center" wrapText="1"/>
    </xf>
    <xf numFmtId="176" fontId="52" fillId="0" borderId="11" xfId="0" applyNumberFormat="1" applyFont="1" applyBorder="1" applyAlignment="1">
      <alignment horizontal="right" vertical="center" wrapText="1"/>
    </xf>
    <xf numFmtId="176" fontId="52" fillId="0" borderId="8" xfId="0" applyNumberFormat="1" applyFont="1" applyBorder="1" applyAlignment="1">
      <alignment horizontal="right" vertical="center" wrapText="1"/>
    </xf>
    <xf numFmtId="176" fontId="47" fillId="0" borderId="8" xfId="0" applyNumberFormat="1" applyFont="1" applyBorder="1" applyAlignment="1">
      <alignment horizontal="right" vertical="center" wrapText="1"/>
    </xf>
    <xf numFmtId="0" fontId="47" fillId="0" borderId="0" xfId="0" applyFont="1" applyAlignment="1">
      <alignment horizontal="right" vertical="center" wrapText="1"/>
    </xf>
    <xf numFmtId="176" fontId="47" fillId="0" borderId="0" xfId="0" applyNumberFormat="1" applyFont="1" applyAlignment="1">
      <alignment horizontal="right" vertical="center" wrapText="1"/>
    </xf>
    <xf numFmtId="176" fontId="43" fillId="0" borderId="0" xfId="0" applyNumberFormat="1" applyFont="1" applyAlignment="1">
      <alignment horizontal="right" vertical="center" wrapText="1"/>
    </xf>
    <xf numFmtId="176" fontId="49" fillId="0" borderId="11" xfId="0" applyNumberFormat="1" applyFont="1" applyBorder="1" applyAlignment="1">
      <alignment horizontal="right" vertical="center" wrapText="1"/>
    </xf>
    <xf numFmtId="176" fontId="49" fillId="0" borderId="49" xfId="0" applyNumberFormat="1" applyFont="1" applyBorder="1" applyAlignment="1">
      <alignment horizontal="right" vertical="center" wrapText="1"/>
    </xf>
    <xf numFmtId="176" fontId="49" fillId="0" borderId="8" xfId="0" applyNumberFormat="1" applyFont="1" applyBorder="1" applyAlignment="1">
      <alignment horizontal="right" vertical="center" wrapText="1"/>
    </xf>
    <xf numFmtId="176" fontId="54" fillId="0" borderId="2" xfId="0" applyNumberFormat="1" applyFont="1" applyBorder="1" applyAlignment="1">
      <alignment horizontal="right" vertical="center" wrapText="1"/>
    </xf>
    <xf numFmtId="176" fontId="54" fillId="0" borderId="6" xfId="0" applyNumberFormat="1" applyFont="1" applyBorder="1" applyAlignment="1">
      <alignment horizontal="right" vertical="center" wrapText="1"/>
    </xf>
    <xf numFmtId="176" fontId="55" fillId="0" borderId="0" xfId="0" applyNumberFormat="1" applyFont="1" applyAlignment="1">
      <alignment horizontal="right" vertical="center" wrapText="1"/>
    </xf>
    <xf numFmtId="176" fontId="54" fillId="0" borderId="0" xfId="0" applyNumberFormat="1" applyFont="1" applyAlignment="1">
      <alignment horizontal="right" vertical="center" wrapText="1"/>
    </xf>
    <xf numFmtId="176" fontId="54" fillId="0" borderId="11" xfId="0" applyNumberFormat="1" applyFont="1" applyBorder="1" applyAlignment="1">
      <alignment horizontal="right" vertical="center" wrapText="1"/>
    </xf>
    <xf numFmtId="49" fontId="6" fillId="0" borderId="10" xfId="0" applyNumberFormat="1" applyFont="1" applyBorder="1" applyAlignment="1">
      <alignment horizontal="center" vertical="center" wrapText="1"/>
    </xf>
    <xf numFmtId="49" fontId="6" fillId="0" borderId="6" xfId="0" applyNumberFormat="1" applyFont="1" applyBorder="1" applyAlignment="1">
      <alignment horizontal="center" vertical="center" wrapText="1"/>
    </xf>
    <xf numFmtId="0" fontId="6" fillId="0" borderId="6" xfId="0" applyFont="1" applyBorder="1" applyAlignment="1">
      <alignment horizontal="center" vertical="center" wrapText="1"/>
    </xf>
    <xf numFmtId="176" fontId="56" fillId="0" borderId="6" xfId="0" applyNumberFormat="1" applyFont="1" applyBorder="1" applyAlignment="1">
      <alignment horizontal="right" vertical="center" wrapText="1"/>
    </xf>
    <xf numFmtId="49" fontId="6" fillId="0" borderId="11" xfId="0" applyNumberFormat="1" applyFont="1" applyBorder="1" applyAlignment="1">
      <alignment horizontal="center" vertical="center" wrapText="1"/>
    </xf>
    <xf numFmtId="0" fontId="6" fillId="0" borderId="11" xfId="0" applyFont="1" applyBorder="1" applyAlignment="1">
      <alignment horizontal="center" vertical="center" wrapText="1"/>
    </xf>
    <xf numFmtId="176" fontId="6" fillId="0" borderId="11" xfId="0" applyNumberFormat="1" applyFont="1" applyBorder="1" applyAlignment="1">
      <alignment horizontal="right" vertical="center" wrapText="1"/>
    </xf>
    <xf numFmtId="179" fontId="6" fillId="0" borderId="11" xfId="0" applyNumberFormat="1" applyFont="1" applyBorder="1" applyAlignment="1">
      <alignment horizontal="right" vertical="center" wrapText="1"/>
    </xf>
    <xf numFmtId="49" fontId="6" fillId="0" borderId="11" xfId="0" applyNumberFormat="1" applyFont="1" applyBorder="1" applyAlignment="1">
      <alignment horizontal="right" vertical="center" wrapText="1"/>
    </xf>
    <xf numFmtId="176" fontId="6" fillId="0" borderId="6" xfId="0" applyNumberFormat="1" applyFont="1" applyBorder="1" applyAlignment="1">
      <alignment horizontal="center" vertical="center" wrapText="1"/>
    </xf>
    <xf numFmtId="176" fontId="6" fillId="0" borderId="11"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176" fontId="6" fillId="0" borderId="18" xfId="0" applyNumberFormat="1" applyFont="1" applyBorder="1" applyAlignment="1">
      <alignment horizontal="right" vertical="center" wrapText="1"/>
    </xf>
    <xf numFmtId="49" fontId="6" fillId="0" borderId="0" xfId="0" applyNumberFormat="1" applyFont="1" applyAlignment="1" applyProtection="1">
      <alignment horizontal="center" vertical="center" wrapText="1"/>
      <protection locked="0"/>
    </xf>
    <xf numFmtId="176" fontId="6" fillId="0" borderId="0" xfId="0" applyNumberFormat="1" applyFont="1" applyAlignment="1" applyProtection="1">
      <alignment horizontal="right" vertical="center" wrapText="1"/>
      <protection locked="0"/>
    </xf>
    <xf numFmtId="176" fontId="43" fillId="0" borderId="37" xfId="0" applyNumberFormat="1" applyFont="1" applyBorder="1" applyAlignment="1">
      <alignment horizontal="right" vertical="center" wrapText="1"/>
    </xf>
    <xf numFmtId="176" fontId="47" fillId="0" borderId="37" xfId="0" applyNumberFormat="1" applyFont="1" applyBorder="1" applyAlignment="1">
      <alignment horizontal="right" vertical="center" wrapText="1"/>
    </xf>
    <xf numFmtId="49" fontId="57" fillId="0" borderId="38" xfId="0" applyNumberFormat="1" applyFont="1" applyBorder="1" applyAlignment="1">
      <alignment horizontal="center" vertical="center" wrapText="1"/>
    </xf>
    <xf numFmtId="176" fontId="57" fillId="0" borderId="37" xfId="0" applyNumberFormat="1" applyFont="1" applyBorder="1" applyAlignment="1">
      <alignment horizontal="right" vertical="center" wrapText="1"/>
    </xf>
    <xf numFmtId="176" fontId="49" fillId="0" borderId="37" xfId="0" applyNumberFormat="1" applyFont="1" applyBorder="1" applyAlignment="1">
      <alignment horizontal="right" vertical="center" wrapText="1"/>
    </xf>
    <xf numFmtId="0" fontId="43" fillId="0" borderId="70" xfId="0" applyFont="1" applyBorder="1" applyAlignment="1">
      <alignment horizontal="left" vertical="center" wrapText="1"/>
    </xf>
    <xf numFmtId="0" fontId="45" fillId="0" borderId="0" xfId="0" applyFont="1" applyAlignment="1" applyProtection="1">
      <alignment horizontal="center" vertical="center" wrapText="1"/>
      <protection locked="0"/>
    </xf>
    <xf numFmtId="176" fontId="41" fillId="0" borderId="37" xfId="0" applyNumberFormat="1" applyFont="1" applyBorder="1" applyAlignment="1">
      <alignment horizontal="right" vertical="center" wrapText="1"/>
    </xf>
    <xf numFmtId="176" fontId="3" fillId="3" borderId="5" xfId="0" applyNumberFormat="1" applyFont="1" applyFill="1" applyBorder="1" applyAlignment="1">
      <alignment horizontal="center" vertical="center" wrapText="1"/>
    </xf>
    <xf numFmtId="176" fontId="3" fillId="3" borderId="6" xfId="0" applyNumberFormat="1" applyFont="1" applyFill="1" applyBorder="1" applyAlignment="1">
      <alignment horizontal="center" vertical="center" wrapText="1"/>
    </xf>
    <xf numFmtId="0" fontId="3" fillId="0" borderId="0" xfId="0" applyFont="1" applyAlignment="1">
      <alignment horizontal="center" vertical="center" wrapText="1"/>
    </xf>
    <xf numFmtId="176" fontId="1" fillId="0" borderId="0" xfId="0" applyNumberFormat="1" applyFont="1" applyAlignment="1">
      <alignment horizontal="right" vertical="center" wrapText="1"/>
    </xf>
    <xf numFmtId="49" fontId="22" fillId="0" borderId="6" xfId="0" applyNumberFormat="1" applyFont="1" applyBorder="1" applyAlignment="1">
      <alignment vertical="center" wrapText="1"/>
    </xf>
    <xf numFmtId="0" fontId="22" fillId="0" borderId="6" xfId="0" applyFont="1" applyBorder="1" applyAlignment="1">
      <alignment horizontal="center" vertical="center" wrapText="1"/>
    </xf>
    <xf numFmtId="176" fontId="22" fillId="0" borderId="6" xfId="0" applyNumberFormat="1" applyFont="1" applyBorder="1" applyAlignment="1">
      <alignment vertical="center" wrapText="1"/>
    </xf>
    <xf numFmtId="49" fontId="1" fillId="0" borderId="0" xfId="0" applyNumberFormat="1" applyFont="1" applyAlignment="1">
      <alignment horizontal="center" vertical="center" wrapText="1"/>
    </xf>
    <xf numFmtId="176" fontId="1" fillId="0" borderId="0" xfId="0" applyNumberFormat="1" applyFont="1" applyAlignment="1">
      <alignment vertical="center" wrapText="1"/>
    </xf>
    <xf numFmtId="176" fontId="1" fillId="0" borderId="0" xfId="0" applyNumberFormat="1" applyFont="1" applyAlignment="1">
      <alignment horizontal="center" vertical="center" wrapText="1"/>
    </xf>
    <xf numFmtId="0" fontId="1" fillId="10" borderId="0" xfId="0" applyFont="1" applyFill="1" applyAlignment="1">
      <alignment horizontal="center" vertical="center" wrapText="1"/>
    </xf>
    <xf numFmtId="176" fontId="17" fillId="0" borderId="9" xfId="16" applyNumberFormat="1" applyFont="1" applyBorder="1" applyAlignment="1">
      <alignment vertical="center" wrapText="1"/>
    </xf>
    <xf numFmtId="176" fontId="3" fillId="4" borderId="6" xfId="0" applyNumberFormat="1" applyFont="1" applyFill="1" applyBorder="1" applyAlignment="1">
      <alignment horizontal="center" vertical="center" wrapText="1"/>
    </xf>
    <xf numFmtId="0" fontId="3" fillId="4" borderId="6" xfId="0" applyFont="1" applyFill="1" applyBorder="1" applyAlignment="1">
      <alignment horizontal="center" vertical="center" wrapText="1"/>
    </xf>
    <xf numFmtId="176" fontId="17" fillId="0" borderId="11" xfId="16" applyNumberFormat="1" applyFont="1" applyBorder="1" applyAlignment="1">
      <alignment vertical="center" wrapText="1"/>
    </xf>
    <xf numFmtId="49" fontId="1" fillId="0" borderId="11" xfId="0" applyNumberFormat="1" applyFont="1" applyBorder="1" applyAlignment="1">
      <alignment vertical="center" wrapText="1"/>
    </xf>
    <xf numFmtId="176" fontId="1" fillId="10" borderId="6" xfId="9" applyNumberFormat="1" applyFont="1" applyFill="1" applyBorder="1" applyAlignment="1">
      <alignment vertical="center" wrapText="1"/>
    </xf>
    <xf numFmtId="176" fontId="17" fillId="0" borderId="61" xfId="16" applyNumberFormat="1" applyFont="1" applyBorder="1" applyAlignment="1">
      <alignment vertical="center" wrapText="1"/>
    </xf>
    <xf numFmtId="176" fontId="3" fillId="3" borderId="32" xfId="0" applyNumberFormat="1" applyFont="1" applyFill="1" applyBorder="1" applyAlignment="1">
      <alignment horizontal="center" vertical="center" wrapText="1"/>
    </xf>
    <xf numFmtId="176" fontId="1" fillId="10" borderId="5" xfId="9" applyNumberFormat="1" applyFont="1" applyFill="1" applyBorder="1" applyAlignment="1">
      <alignment vertical="center" wrapText="1"/>
    </xf>
    <xf numFmtId="176" fontId="17" fillId="0" borderId="46" xfId="16" applyNumberFormat="1" applyFont="1" applyBorder="1" applyAlignment="1">
      <alignment vertical="center" wrapText="1"/>
    </xf>
    <xf numFmtId="176" fontId="1" fillId="0" borderId="46" xfId="0" applyNumberFormat="1" applyFont="1" applyBorder="1" applyAlignment="1">
      <alignment horizontal="right" vertical="center" wrapText="1"/>
    </xf>
    <xf numFmtId="49" fontId="1" fillId="0" borderId="46" xfId="0" applyNumberFormat="1" applyFont="1" applyBorder="1" applyAlignment="1">
      <alignment vertical="center" wrapText="1"/>
    </xf>
    <xf numFmtId="0" fontId="1" fillId="0" borderId="46" xfId="0" applyFont="1" applyBorder="1" applyAlignment="1">
      <alignment horizontal="center" vertical="center" wrapText="1"/>
    </xf>
    <xf numFmtId="176" fontId="1" fillId="0" borderId="46" xfId="0" applyNumberFormat="1" applyFont="1" applyBorder="1" applyAlignment="1">
      <alignment vertical="center" wrapText="1"/>
    </xf>
    <xf numFmtId="0" fontId="1" fillId="0" borderId="59" xfId="0" applyFont="1" applyBorder="1" applyAlignment="1">
      <alignment vertical="center" wrapText="1"/>
    </xf>
    <xf numFmtId="176" fontId="10" fillId="0" borderId="37" xfId="16" applyNumberFormat="1" applyFont="1" applyBorder="1" applyAlignment="1">
      <alignment vertical="center" wrapText="1"/>
    </xf>
    <xf numFmtId="0" fontId="3" fillId="0" borderId="63" xfId="0" applyFont="1" applyBorder="1" applyAlignment="1">
      <alignment horizontal="center" vertical="center" wrapText="1"/>
    </xf>
    <xf numFmtId="176" fontId="10" fillId="0" borderId="38" xfId="16" applyNumberFormat="1" applyFont="1" applyBorder="1" applyAlignment="1">
      <alignment vertical="center" wrapText="1"/>
    </xf>
    <xf numFmtId="176" fontId="41" fillId="0" borderId="37" xfId="16" applyNumberFormat="1" applyFont="1" applyBorder="1" applyAlignment="1">
      <alignment vertical="center" wrapText="1"/>
    </xf>
    <xf numFmtId="176" fontId="47" fillId="0" borderId="37" xfId="16" applyNumberFormat="1" applyFont="1" applyBorder="1" applyAlignment="1">
      <alignment vertical="center" wrapText="1"/>
    </xf>
    <xf numFmtId="176" fontId="47" fillId="0" borderId="0" xfId="0" applyNumberFormat="1" applyFont="1" applyAlignment="1">
      <alignment horizontal="center" vertical="center" wrapText="1"/>
    </xf>
    <xf numFmtId="176" fontId="49" fillId="0" borderId="37" xfId="16" applyNumberFormat="1" applyFont="1" applyBorder="1" applyAlignment="1">
      <alignment vertical="center" wrapText="1"/>
    </xf>
    <xf numFmtId="0" fontId="1" fillId="0" borderId="32" xfId="0" applyFont="1" applyBorder="1" applyAlignment="1">
      <alignment vertical="center" wrapText="1"/>
    </xf>
    <xf numFmtId="0" fontId="58" fillId="0" borderId="0" xfId="0" applyFont="1" applyAlignment="1">
      <alignment horizontal="center" vertical="center"/>
    </xf>
    <xf numFmtId="0" fontId="58" fillId="0" borderId="0" xfId="0" applyFont="1" applyAlignment="1">
      <alignment horizontal="right" vertical="center"/>
    </xf>
    <xf numFmtId="178" fontId="58" fillId="0" borderId="0" xfId="0" applyNumberFormat="1" applyFont="1" applyAlignment="1">
      <alignment horizontal="right" vertical="center"/>
    </xf>
    <xf numFmtId="178" fontId="58" fillId="0" borderId="0" xfId="0" applyNumberFormat="1" applyFont="1" applyAlignment="1">
      <alignment horizontal="center" vertical="center"/>
    </xf>
    <xf numFmtId="176" fontId="58" fillId="0" borderId="0" xfId="0" applyNumberFormat="1" applyFont="1" applyAlignment="1">
      <alignment horizontal="right" vertical="center"/>
    </xf>
    <xf numFmtId="0" fontId="58" fillId="0" borderId="6" xfId="0" applyFont="1" applyBorder="1" applyAlignment="1">
      <alignment horizontal="center" vertical="center"/>
    </xf>
    <xf numFmtId="176" fontId="58" fillId="0" borderId="6" xfId="0" applyNumberFormat="1" applyFont="1" applyBorder="1" applyAlignment="1">
      <alignment horizontal="right" vertical="center"/>
    </xf>
    <xf numFmtId="0" fontId="58" fillId="0" borderId="5" xfId="0" applyFont="1" applyBorder="1" applyAlignment="1">
      <alignment horizontal="center" vertical="center"/>
    </xf>
    <xf numFmtId="0" fontId="58" fillId="0" borderId="32" xfId="0" applyFont="1" applyBorder="1" applyAlignment="1">
      <alignment horizontal="center" vertical="center"/>
    </xf>
    <xf numFmtId="176" fontId="58" fillId="0" borderId="32" xfId="0" applyNumberFormat="1" applyFont="1" applyBorder="1" applyAlignment="1">
      <alignment horizontal="right" vertical="center"/>
    </xf>
    <xf numFmtId="176" fontId="58" fillId="0" borderId="8" xfId="0" applyNumberFormat="1" applyFont="1" applyBorder="1" applyAlignment="1">
      <alignment horizontal="right" vertical="center"/>
    </xf>
    <xf numFmtId="176" fontId="58" fillId="0" borderId="39" xfId="0" applyNumberFormat="1" applyFont="1" applyBorder="1" applyAlignment="1">
      <alignment horizontal="right" vertical="center"/>
    </xf>
    <xf numFmtId="178" fontId="59" fillId="0" borderId="0" xfId="0" applyNumberFormat="1" applyFont="1" applyAlignment="1">
      <alignment horizontal="center" vertical="center" wrapText="1"/>
    </xf>
    <xf numFmtId="176" fontId="22" fillId="0" borderId="6" xfId="0" applyNumberFormat="1" applyFont="1" applyBorder="1" applyAlignment="1">
      <alignment horizontal="right" vertical="center" wrapText="1"/>
    </xf>
    <xf numFmtId="176" fontId="59" fillId="0" borderId="0" xfId="0" applyNumberFormat="1" applyFont="1" applyAlignment="1" applyProtection="1">
      <alignment horizontal="center" vertical="center" wrapText="1"/>
      <protection locked="0"/>
    </xf>
    <xf numFmtId="176" fontId="4" fillId="0" borderId="8" xfId="0" applyNumberFormat="1" applyFont="1" applyBorder="1" applyAlignment="1">
      <alignment horizontal="right" vertical="center" wrapText="1"/>
    </xf>
    <xf numFmtId="176" fontId="3" fillId="15" borderId="49" xfId="0" applyNumberFormat="1" applyFont="1" applyFill="1" applyBorder="1" applyAlignment="1">
      <alignment horizontal="right" vertical="center" wrapText="1"/>
    </xf>
    <xf numFmtId="178" fontId="3" fillId="0" borderId="0" xfId="0" applyNumberFormat="1" applyFont="1" applyAlignment="1">
      <alignment horizontal="center" vertical="center" wrapText="1"/>
    </xf>
    <xf numFmtId="176" fontId="3" fillId="0" borderId="37" xfId="0" applyNumberFormat="1" applyFont="1" applyBorder="1" applyAlignment="1">
      <alignment horizontal="right" vertical="center" wrapText="1"/>
    </xf>
    <xf numFmtId="49" fontId="6" fillId="0" borderId="47" xfId="0" applyNumberFormat="1" applyFont="1" applyBorder="1" applyAlignment="1">
      <alignment horizontal="left" vertical="center" wrapText="1"/>
    </xf>
    <xf numFmtId="0" fontId="1" fillId="0" borderId="40" xfId="0" applyFont="1" applyBorder="1" applyAlignment="1">
      <alignment horizontal="left" vertical="center" wrapText="1"/>
    </xf>
    <xf numFmtId="176" fontId="9" fillId="0" borderId="37" xfId="0" applyNumberFormat="1" applyFont="1" applyBorder="1" applyAlignment="1">
      <alignment horizontal="right" vertical="center" wrapText="1"/>
    </xf>
    <xf numFmtId="176" fontId="44" fillId="0" borderId="37" xfId="0" applyNumberFormat="1" applyFont="1" applyBorder="1" applyAlignment="1">
      <alignment horizontal="right" vertical="center" wrapText="1"/>
    </xf>
    <xf numFmtId="49" fontId="15" fillId="0" borderId="47" xfId="0" applyNumberFormat="1" applyFont="1" applyBorder="1" applyAlignment="1">
      <alignment horizontal="left" vertical="center" wrapText="1"/>
    </xf>
    <xf numFmtId="0" fontId="2" fillId="0" borderId="40" xfId="0" applyFont="1" applyBorder="1" applyAlignment="1">
      <alignment horizontal="left" vertical="center" wrapText="1"/>
    </xf>
    <xf numFmtId="176" fontId="3" fillId="0" borderId="62" xfId="0" applyNumberFormat="1" applyFont="1" applyBorder="1" applyAlignment="1">
      <alignment horizontal="right" vertical="center" wrapText="1"/>
    </xf>
    <xf numFmtId="176" fontId="54" fillId="0" borderId="38" xfId="0" applyNumberFormat="1" applyFont="1" applyBorder="1" applyAlignment="1">
      <alignment horizontal="right" vertical="center" wrapText="1"/>
    </xf>
    <xf numFmtId="176" fontId="54" fillId="0" borderId="37" xfId="0" applyNumberFormat="1" applyFont="1" applyBorder="1" applyAlignment="1">
      <alignment horizontal="right" vertical="center" wrapText="1"/>
    </xf>
    <xf numFmtId="176" fontId="55" fillId="0" borderId="38" xfId="0" applyNumberFormat="1" applyFont="1" applyBorder="1" applyAlignment="1">
      <alignment horizontal="right" vertical="center" wrapText="1"/>
    </xf>
    <xf numFmtId="176" fontId="55" fillId="0" borderId="37" xfId="0" applyNumberFormat="1" applyFont="1" applyBorder="1" applyAlignment="1">
      <alignment horizontal="right" vertical="center" wrapText="1"/>
    </xf>
    <xf numFmtId="0" fontId="62" fillId="0" borderId="6" xfId="0" applyFont="1" applyBorder="1" applyAlignment="1">
      <alignment horizontal="left" vertical="center" wrapText="1"/>
    </xf>
    <xf numFmtId="0" fontId="63" fillId="0" borderId="4" xfId="0" applyFont="1" applyBorder="1" applyAlignment="1">
      <alignment horizontal="center" vertical="center" wrapText="1"/>
    </xf>
    <xf numFmtId="176" fontId="63" fillId="3" borderId="9" xfId="0" applyNumberFormat="1" applyFont="1" applyFill="1" applyBorder="1" applyAlignment="1">
      <alignment horizontal="center" vertical="center" wrapText="1"/>
    </xf>
    <xf numFmtId="176" fontId="67" fillId="3" borderId="9" xfId="0" applyNumberFormat="1" applyFont="1" applyFill="1" applyBorder="1" applyAlignment="1">
      <alignment horizontal="center" vertical="center" wrapText="1"/>
    </xf>
    <xf numFmtId="176" fontId="68" fillId="4" borderId="9" xfId="0" applyNumberFormat="1" applyFont="1" applyFill="1" applyBorder="1" applyAlignment="1">
      <alignment horizontal="center" vertical="center" wrapText="1"/>
    </xf>
    <xf numFmtId="176" fontId="63" fillId="4" borderId="9" xfId="0" applyNumberFormat="1" applyFont="1" applyFill="1" applyBorder="1" applyAlignment="1">
      <alignment horizontal="center" vertical="center" wrapText="1"/>
    </xf>
    <xf numFmtId="49" fontId="63" fillId="4" borderId="9" xfId="0" applyNumberFormat="1" applyFont="1" applyFill="1" applyBorder="1" applyAlignment="1">
      <alignment horizontal="center" vertical="center" wrapText="1"/>
    </xf>
    <xf numFmtId="49" fontId="69" fillId="0" borderId="11" xfId="0" applyNumberFormat="1" applyFont="1" applyBorder="1" applyAlignment="1">
      <alignment horizontal="left" vertical="center" wrapText="1"/>
    </xf>
    <xf numFmtId="49" fontId="69" fillId="0" borderId="6" xfId="0" applyNumberFormat="1" applyFont="1" applyBorder="1" applyAlignment="1">
      <alignment horizontal="left" vertical="center" wrapText="1"/>
    </xf>
    <xf numFmtId="49" fontId="69" fillId="0" borderId="9" xfId="0" applyNumberFormat="1" applyFont="1" applyBorder="1" applyAlignment="1">
      <alignment horizontal="left" vertical="center" wrapText="1"/>
    </xf>
    <xf numFmtId="49" fontId="69" fillId="0" borderId="10" xfId="0" applyNumberFormat="1" applyFont="1" applyBorder="1" applyAlignment="1">
      <alignment horizontal="left" vertical="center" wrapText="1"/>
    </xf>
    <xf numFmtId="0" fontId="62" fillId="0" borderId="8" xfId="0" applyFont="1" applyBorder="1" applyAlignment="1">
      <alignment horizontal="left" vertical="center" wrapText="1"/>
    </xf>
    <xf numFmtId="176" fontId="71" fillId="0" borderId="37" xfId="0" applyNumberFormat="1" applyFont="1" applyBorder="1" applyAlignment="1">
      <alignment horizontal="right" vertical="center" wrapText="1"/>
    </xf>
    <xf numFmtId="176" fontId="72" fillId="0" borderId="37" xfId="0" applyNumberFormat="1" applyFont="1" applyBorder="1" applyAlignment="1">
      <alignment horizontal="right" vertical="center" wrapText="1"/>
    </xf>
    <xf numFmtId="0" fontId="73" fillId="0" borderId="63" xfId="0" applyFont="1" applyBorder="1" applyAlignment="1">
      <alignment horizontal="left" vertical="center" wrapText="1"/>
    </xf>
    <xf numFmtId="0" fontId="74" fillId="0" borderId="0" xfId="0" applyFont="1" applyAlignment="1">
      <alignment horizontal="center" vertical="center" wrapText="1"/>
    </xf>
    <xf numFmtId="176" fontId="62" fillId="0" borderId="9" xfId="0" applyNumberFormat="1" applyFont="1" applyBorder="1" applyAlignment="1">
      <alignment horizontal="right" vertical="center" wrapText="1"/>
    </xf>
    <xf numFmtId="176" fontId="62" fillId="0" borderId="6" xfId="0" applyNumberFormat="1" applyFont="1" applyBorder="1" applyAlignment="1">
      <alignment horizontal="right" vertical="center" wrapText="1"/>
    </xf>
    <xf numFmtId="176" fontId="69" fillId="0" borderId="11" xfId="0" applyNumberFormat="1" applyFont="1" applyBorder="1" applyAlignment="1">
      <alignment horizontal="right" vertical="center" wrapText="1"/>
    </xf>
    <xf numFmtId="176" fontId="62" fillId="0" borderId="10" xfId="0" applyNumberFormat="1" applyFont="1" applyBorder="1" applyAlignment="1">
      <alignment horizontal="right" vertical="center" wrapText="1"/>
    </xf>
    <xf numFmtId="176" fontId="69" fillId="0" borderId="6" xfId="0" applyNumberFormat="1" applyFont="1" applyBorder="1" applyAlignment="1">
      <alignment horizontal="right" vertical="center" wrapText="1"/>
    </xf>
    <xf numFmtId="176" fontId="69" fillId="0" borderId="9" xfId="0" applyNumberFormat="1" applyFont="1" applyBorder="1" applyAlignment="1">
      <alignment horizontal="right" vertical="center" wrapText="1"/>
    </xf>
    <xf numFmtId="176" fontId="70" fillId="0" borderId="6" xfId="0" applyNumberFormat="1" applyFont="1" applyBorder="1" applyAlignment="1">
      <alignment horizontal="right" vertical="center" wrapText="1"/>
    </xf>
    <xf numFmtId="176" fontId="69" fillId="0" borderId="10" xfId="0" applyNumberFormat="1" applyFont="1" applyBorder="1" applyAlignment="1">
      <alignment horizontal="right" vertical="center" wrapText="1"/>
    </xf>
    <xf numFmtId="0" fontId="78" fillId="0" borderId="6" xfId="0" applyFont="1" applyBorder="1" applyAlignment="1">
      <alignment horizontal="left" vertical="center" wrapText="1"/>
    </xf>
    <xf numFmtId="0" fontId="78" fillId="0" borderId="6" xfId="0" applyFont="1" applyBorder="1" applyAlignment="1">
      <alignment horizontal="center" vertical="center" wrapText="1"/>
    </xf>
    <xf numFmtId="0" fontId="78" fillId="0" borderId="9" xfId="0" applyFont="1" applyBorder="1" applyAlignment="1">
      <alignment horizontal="left" vertical="center" wrapText="1"/>
    </xf>
    <xf numFmtId="0" fontId="78" fillId="0" borderId="9" xfId="0" applyFont="1" applyBorder="1" applyAlignment="1">
      <alignment horizontal="center" vertical="center" wrapText="1"/>
    </xf>
    <xf numFmtId="0" fontId="78" fillId="0" borderId="0" xfId="0" applyFont="1" applyAlignment="1">
      <alignment horizontal="left" vertical="center" wrapText="1"/>
    </xf>
    <xf numFmtId="0" fontId="78" fillId="0" borderId="41" xfId="0" applyFont="1" applyBorder="1" applyAlignment="1">
      <alignment vertical="center" wrapText="1"/>
    </xf>
    <xf numFmtId="0" fontId="78" fillId="0" borderId="15" xfId="0" applyFont="1" applyBorder="1" applyAlignment="1">
      <alignment vertical="center" wrapText="1"/>
    </xf>
    <xf numFmtId="0" fontId="78" fillId="0" borderId="9" xfId="0" applyFont="1" applyBorder="1" applyAlignment="1">
      <alignment vertical="center" wrapText="1"/>
    </xf>
    <xf numFmtId="0" fontId="78" fillId="0" borderId="10" xfId="0" applyFont="1" applyBorder="1" applyAlignment="1">
      <alignment vertical="center" wrapText="1"/>
    </xf>
    <xf numFmtId="0" fontId="79" fillId="0" borderId="9" xfId="0" applyFont="1" applyBorder="1" applyAlignment="1">
      <alignment horizontal="left" vertical="center" wrapText="1"/>
    </xf>
    <xf numFmtId="0" fontId="80" fillId="0" borderId="15" xfId="0" applyFont="1" applyBorder="1" applyAlignment="1">
      <alignment horizontal="left" vertical="center" wrapText="1"/>
    </xf>
    <xf numFmtId="177" fontId="78" fillId="0" borderId="6" xfId="0" applyNumberFormat="1" applyFont="1" applyBorder="1" applyAlignment="1">
      <alignment horizontal="left" vertical="center" wrapText="1"/>
    </xf>
    <xf numFmtId="0" fontId="78" fillId="0" borderId="6" xfId="0" applyFont="1" applyBorder="1" applyAlignment="1">
      <alignment vertical="center" wrapText="1"/>
    </xf>
    <xf numFmtId="0" fontId="78" fillId="9" borderId="6" xfId="0" applyFont="1" applyFill="1" applyBorder="1" applyAlignment="1">
      <alignment horizontal="left" vertical="center" wrapText="1"/>
    </xf>
    <xf numFmtId="0" fontId="78" fillId="0" borderId="8" xfId="0" applyFont="1" applyBorder="1" applyAlignment="1">
      <alignment horizontal="left" vertical="center" wrapText="1"/>
    </xf>
    <xf numFmtId="0" fontId="78" fillId="0" borderId="0" xfId="0" applyFont="1" applyAlignment="1" applyProtection="1">
      <alignment horizontal="left" vertical="center" wrapText="1"/>
      <protection locked="0"/>
    </xf>
    <xf numFmtId="0" fontId="43" fillId="0" borderId="4" xfId="0" applyFont="1" applyBorder="1" applyAlignment="1">
      <alignment horizontal="center" vertical="center" wrapText="1"/>
    </xf>
    <xf numFmtId="0" fontId="78" fillId="0" borderId="0" xfId="0" applyFont="1" applyAlignment="1">
      <alignment horizontal="center" vertical="center" wrapText="1"/>
    </xf>
    <xf numFmtId="176" fontId="54" fillId="0" borderId="17" xfId="0" applyNumberFormat="1" applyFont="1" applyBorder="1" applyAlignment="1">
      <alignment horizontal="right" vertical="center" wrapText="1"/>
    </xf>
    <xf numFmtId="0" fontId="62" fillId="0" borderId="10" xfId="0" applyFont="1" applyBorder="1" applyAlignment="1">
      <alignment horizontal="left" vertical="center" wrapText="1"/>
    </xf>
    <xf numFmtId="0" fontId="62" fillId="17" borderId="6" xfId="0" applyFont="1" applyFill="1" applyBorder="1" applyAlignment="1">
      <alignment horizontal="left" vertical="center" wrapText="1"/>
    </xf>
    <xf numFmtId="176" fontId="62" fillId="17" borderId="6" xfId="0" applyNumberFormat="1" applyFont="1" applyFill="1" applyBorder="1" applyAlignment="1">
      <alignment horizontal="right" vertical="center" wrapText="1"/>
    </xf>
    <xf numFmtId="49" fontId="69" fillId="17" borderId="6" xfId="0" applyNumberFormat="1" applyFont="1" applyFill="1" applyBorder="1" applyAlignment="1">
      <alignment horizontal="left" vertical="center" wrapText="1"/>
    </xf>
    <xf numFmtId="176" fontId="69" fillId="17" borderId="6" xfId="0" applyNumberFormat="1" applyFont="1" applyFill="1" applyBorder="1" applyAlignment="1">
      <alignment horizontal="right" vertical="center" wrapText="1"/>
    </xf>
    <xf numFmtId="0" fontId="43" fillId="0" borderId="4" xfId="0" applyFont="1" applyBorder="1" applyAlignment="1">
      <alignment horizontal="left" vertical="center" wrapText="1"/>
    </xf>
    <xf numFmtId="176" fontId="62" fillId="0" borderId="15" xfId="0" applyNumberFormat="1" applyFont="1" applyBorder="1" applyAlignment="1">
      <alignment horizontal="right" vertical="center" wrapText="1"/>
    </xf>
    <xf numFmtId="49" fontId="69" fillId="0" borderId="15" xfId="0" applyNumberFormat="1" applyFont="1" applyBorder="1" applyAlignment="1">
      <alignment horizontal="left" vertical="center" wrapText="1"/>
    </xf>
    <xf numFmtId="176" fontId="69" fillId="0" borderId="15" xfId="0" applyNumberFormat="1" applyFont="1" applyBorder="1" applyAlignment="1">
      <alignment horizontal="right" vertical="center" wrapText="1"/>
    </xf>
    <xf numFmtId="176" fontId="62" fillId="0" borderId="8" xfId="0" applyNumberFormat="1" applyFont="1" applyBorder="1" applyAlignment="1">
      <alignment horizontal="right" vertical="center" wrapText="1"/>
    </xf>
    <xf numFmtId="49" fontId="69" fillId="0" borderId="8" xfId="0" applyNumberFormat="1" applyFont="1" applyBorder="1" applyAlignment="1">
      <alignment horizontal="left" vertical="center" wrapText="1"/>
    </xf>
    <xf numFmtId="176" fontId="69" fillId="0" borderId="8" xfId="0" applyNumberFormat="1" applyFont="1" applyBorder="1" applyAlignment="1">
      <alignment horizontal="right" vertical="center" wrapText="1"/>
    </xf>
    <xf numFmtId="176" fontId="45" fillId="0" borderId="37" xfId="0" applyNumberFormat="1" applyFont="1" applyBorder="1" applyAlignment="1">
      <alignment horizontal="right" vertical="center" wrapText="1"/>
    </xf>
    <xf numFmtId="176" fontId="87" fillId="0" borderId="37" xfId="0" applyNumberFormat="1" applyFont="1" applyBorder="1" applyAlignment="1">
      <alignment horizontal="right" vertical="center" wrapText="1"/>
    </xf>
    <xf numFmtId="0" fontId="88" fillId="0" borderId="63" xfId="0" applyFont="1" applyBorder="1" applyAlignment="1">
      <alignment horizontal="left" vertical="center" wrapText="1"/>
    </xf>
    <xf numFmtId="176" fontId="3" fillId="0" borderId="0" xfId="0" applyNumberFormat="1" applyFont="1" applyAlignment="1" applyProtection="1">
      <alignment horizontal="center" vertical="center" wrapText="1"/>
      <protection locked="0"/>
    </xf>
    <xf numFmtId="0" fontId="1" fillId="0" borderId="5" xfId="0" applyFont="1" applyBorder="1" applyAlignment="1">
      <alignment horizontal="left" vertical="center" wrapText="1"/>
    </xf>
    <xf numFmtId="0" fontId="22" fillId="0" borderId="6" xfId="0" applyFont="1" applyBorder="1" applyAlignment="1">
      <alignment horizontal="left" vertical="center" wrapText="1"/>
    </xf>
    <xf numFmtId="176" fontId="4" fillId="0" borderId="0" xfId="0" applyNumberFormat="1" applyFont="1" applyAlignment="1" applyProtection="1">
      <alignment horizontal="center" vertical="center" wrapText="1"/>
      <protection locked="0"/>
    </xf>
    <xf numFmtId="0" fontId="1" fillId="9" borderId="6" xfId="0" applyFont="1" applyFill="1" applyBorder="1" applyAlignment="1">
      <alignment horizontal="left" vertical="center" wrapText="1"/>
    </xf>
    <xf numFmtId="0" fontId="1" fillId="0" borderId="56" xfId="0" applyFont="1" applyBorder="1" applyAlignment="1">
      <alignment horizontal="left" vertical="center" wrapText="1"/>
    </xf>
    <xf numFmtId="176" fontId="3" fillId="0" borderId="0" xfId="0" applyNumberFormat="1" applyFont="1" applyAlignment="1">
      <alignment horizontal="center" vertical="center" wrapText="1"/>
    </xf>
    <xf numFmtId="176" fontId="43" fillId="0" borderId="0" xfId="0" applyNumberFormat="1" applyFont="1" applyAlignment="1" applyProtection="1">
      <alignment horizontal="center" vertical="center" wrapText="1"/>
      <protection locked="0"/>
    </xf>
    <xf numFmtId="0" fontId="63" fillId="0" borderId="4" xfId="0" applyFont="1" applyBorder="1" applyAlignment="1">
      <alignment horizontal="left" vertical="center" wrapText="1"/>
    </xf>
    <xf numFmtId="176" fontId="1" fillId="0" borderId="9" xfId="0" applyNumberFormat="1" applyFont="1" applyBorder="1" applyAlignment="1">
      <alignment horizontal="right" vertical="center" wrapText="1"/>
    </xf>
    <xf numFmtId="176" fontId="1" fillId="0" borderId="36" xfId="0" applyNumberFormat="1" applyFont="1" applyBorder="1" applyAlignment="1">
      <alignment horizontal="right" vertical="center" wrapText="1"/>
    </xf>
    <xf numFmtId="176" fontId="1" fillId="0" borderId="10" xfId="0" applyNumberFormat="1" applyFont="1" applyBorder="1" applyAlignment="1">
      <alignment horizontal="right" vertical="center" wrapText="1"/>
    </xf>
    <xf numFmtId="176" fontId="41" fillId="0" borderId="9" xfId="0" applyNumberFormat="1" applyFont="1" applyBorder="1" applyAlignment="1">
      <alignment horizontal="right" vertical="center" wrapText="1"/>
    </xf>
    <xf numFmtId="176" fontId="41" fillId="0" borderId="10" xfId="0" applyNumberFormat="1" applyFont="1" applyBorder="1" applyAlignment="1">
      <alignment horizontal="right" vertical="center" wrapText="1"/>
    </xf>
    <xf numFmtId="176" fontId="49" fillId="0" borderId="33" xfId="0" applyNumberFormat="1" applyFont="1" applyBorder="1" applyAlignment="1">
      <alignment vertical="center" wrapText="1"/>
    </xf>
    <xf numFmtId="176" fontId="49" fillId="0" borderId="34" xfId="0" applyNumberFormat="1" applyFont="1" applyBorder="1" applyAlignment="1">
      <alignment vertical="center" wrapText="1"/>
    </xf>
    <xf numFmtId="176" fontId="1" fillId="0" borderId="13" xfId="0" applyNumberFormat="1" applyFont="1" applyBorder="1" applyAlignment="1">
      <alignment horizontal="right" vertical="center" wrapText="1"/>
    </xf>
    <xf numFmtId="176" fontId="1" fillId="0" borderId="12" xfId="0" applyNumberFormat="1" applyFont="1" applyBorder="1" applyAlignment="1">
      <alignment horizontal="right" vertical="center" wrapText="1"/>
    </xf>
    <xf numFmtId="176" fontId="1" fillId="0" borderId="33" xfId="0" applyNumberFormat="1" applyFont="1" applyBorder="1" applyAlignment="1">
      <alignment horizontal="right" vertical="center" wrapText="1"/>
    </xf>
    <xf numFmtId="176" fontId="1" fillId="0" borderId="30" xfId="0" applyNumberFormat="1" applyFont="1" applyBorder="1" applyAlignment="1">
      <alignment horizontal="right" vertical="center" wrapText="1"/>
    </xf>
    <xf numFmtId="176" fontId="1" fillId="0" borderId="34" xfId="0" applyNumberFormat="1" applyFont="1" applyBorder="1" applyAlignment="1">
      <alignment horizontal="right" vertical="center" wrapText="1"/>
    </xf>
    <xf numFmtId="176" fontId="17" fillId="0" borderId="9" xfId="16" applyNumberFormat="1" applyFont="1" applyBorder="1" applyAlignment="1">
      <alignment horizontal="right" vertical="center" wrapText="1"/>
    </xf>
    <xf numFmtId="176" fontId="17" fillId="0" borderId="10" xfId="16" applyNumberFormat="1" applyFont="1" applyBorder="1" applyAlignment="1">
      <alignment horizontal="right" vertical="center" wrapText="1"/>
    </xf>
    <xf numFmtId="176" fontId="3" fillId="0" borderId="32" xfId="0" applyNumberFormat="1" applyFont="1" applyBorder="1" applyAlignment="1">
      <alignment horizontal="right" vertical="center" wrapText="1"/>
    </xf>
    <xf numFmtId="176" fontId="3" fillId="0" borderId="33" xfId="0" applyNumberFormat="1" applyFont="1" applyBorder="1" applyAlignment="1">
      <alignment horizontal="right" vertical="center" wrapText="1"/>
    </xf>
    <xf numFmtId="176" fontId="1" fillId="0" borderId="6" xfId="0" applyNumberFormat="1" applyFont="1" applyBorder="1" applyAlignment="1">
      <alignment horizontal="right" vertical="center" wrapText="1"/>
    </xf>
    <xf numFmtId="176" fontId="22" fillId="0" borderId="6" xfId="0" applyNumberFormat="1" applyFont="1" applyBorder="1" applyAlignment="1">
      <alignment horizontal="right" vertical="center" wrapText="1"/>
    </xf>
    <xf numFmtId="176" fontId="22" fillId="0" borderId="9" xfId="0" applyNumberFormat="1" applyFont="1" applyBorder="1" applyAlignment="1">
      <alignment horizontal="right" vertical="center" wrapText="1"/>
    </xf>
    <xf numFmtId="176" fontId="41" fillId="0" borderId="15" xfId="0" applyNumberFormat="1" applyFont="1" applyBorder="1" applyAlignment="1">
      <alignment horizontal="right" vertical="center" wrapText="1"/>
    </xf>
    <xf numFmtId="176" fontId="1" fillId="0" borderId="9" xfId="0" applyNumberFormat="1" applyFont="1" applyBorder="1" applyAlignment="1">
      <alignment vertical="center" wrapText="1"/>
    </xf>
    <xf numFmtId="176" fontId="1" fillId="0" borderId="10" xfId="0" applyNumberFormat="1" applyFont="1" applyBorder="1" applyAlignment="1">
      <alignment vertical="center" wrapText="1"/>
    </xf>
    <xf numFmtId="176" fontId="1" fillId="0" borderId="15" xfId="0" applyNumberFormat="1" applyFont="1" applyBorder="1" applyAlignment="1">
      <alignment horizontal="right" vertical="center" wrapText="1"/>
    </xf>
    <xf numFmtId="176" fontId="47" fillId="0" borderId="5" xfId="0" applyNumberFormat="1" applyFont="1" applyBorder="1" applyAlignment="1">
      <alignment horizontal="right" vertical="center" wrapText="1"/>
    </xf>
    <xf numFmtId="49" fontId="6" fillId="0" borderId="6" xfId="0" applyNumberFormat="1" applyFont="1" applyBorder="1" applyAlignment="1">
      <alignment horizontal="center" vertical="center" wrapText="1"/>
    </xf>
    <xf numFmtId="0" fontId="1" fillId="0" borderId="9" xfId="0" applyFont="1" applyBorder="1" applyAlignment="1">
      <alignment horizontal="left" vertical="center" wrapText="1"/>
    </xf>
    <xf numFmtId="0" fontId="1" fillId="0" borderId="15" xfId="0" applyFont="1" applyBorder="1" applyAlignment="1">
      <alignment horizontal="left" vertical="center" wrapText="1"/>
    </xf>
    <xf numFmtId="0" fontId="1" fillId="0" borderId="10" xfId="0" applyFont="1" applyBorder="1" applyAlignment="1">
      <alignment horizontal="left" vertical="center" wrapText="1"/>
    </xf>
    <xf numFmtId="178" fontId="1" fillId="0" borderId="9" xfId="0" applyNumberFormat="1" applyFont="1" applyBorder="1" applyAlignment="1">
      <alignment horizontal="right" vertical="center" wrapText="1"/>
    </xf>
    <xf numFmtId="178" fontId="1" fillId="0" borderId="15" xfId="0" applyNumberFormat="1" applyFont="1" applyBorder="1" applyAlignment="1">
      <alignment horizontal="right" vertical="center" wrapText="1"/>
    </xf>
    <xf numFmtId="178" fontId="1" fillId="0" borderId="10" xfId="0" applyNumberFormat="1" applyFont="1" applyBorder="1" applyAlignment="1">
      <alignment horizontal="right" vertical="center" wrapText="1"/>
    </xf>
    <xf numFmtId="176" fontId="49" fillId="0" borderId="29" xfId="0" applyNumberFormat="1" applyFont="1" applyBorder="1" applyAlignment="1">
      <alignment vertical="center" wrapText="1"/>
    </xf>
    <xf numFmtId="176" fontId="22" fillId="0" borderId="10" xfId="0" applyNumberFormat="1" applyFont="1" applyBorder="1" applyAlignment="1">
      <alignment horizontal="right" vertical="center" wrapText="1"/>
    </xf>
    <xf numFmtId="176" fontId="22" fillId="0" borderId="15" xfId="0" applyNumberFormat="1" applyFont="1" applyBorder="1" applyAlignment="1">
      <alignment horizontal="right" vertical="center" wrapText="1"/>
    </xf>
    <xf numFmtId="176" fontId="41" fillId="0" borderId="9" xfId="0" applyNumberFormat="1" applyFont="1" applyBorder="1" applyAlignment="1">
      <alignment vertical="center" wrapText="1"/>
    </xf>
    <xf numFmtId="176" fontId="41" fillId="0" borderId="15" xfId="0" applyNumberFormat="1" applyFont="1" applyBorder="1" applyAlignment="1">
      <alignment vertical="center" wrapText="1"/>
    </xf>
    <xf numFmtId="176" fontId="41" fillId="0" borderId="10" xfId="0" applyNumberFormat="1" applyFont="1" applyBorder="1" applyAlignment="1">
      <alignment vertical="center" wrapText="1"/>
    </xf>
    <xf numFmtId="176" fontId="3" fillId="0" borderId="29" xfId="0" applyNumberFormat="1" applyFont="1" applyBorder="1" applyAlignment="1">
      <alignment horizontal="right" vertical="center" wrapText="1"/>
    </xf>
    <xf numFmtId="176" fontId="3" fillId="0" borderId="34" xfId="0" applyNumberFormat="1" applyFont="1" applyBorder="1" applyAlignment="1">
      <alignment horizontal="right" vertical="center" wrapText="1"/>
    </xf>
    <xf numFmtId="176" fontId="47" fillId="0" borderId="13" xfId="0" applyNumberFormat="1" applyFont="1" applyBorder="1" applyAlignment="1">
      <alignment horizontal="right" vertical="center" wrapText="1"/>
    </xf>
    <xf numFmtId="176" fontId="47" fillId="0" borderId="14" xfId="0" applyNumberFormat="1" applyFont="1" applyBorder="1" applyAlignment="1">
      <alignment horizontal="right" vertical="center" wrapText="1"/>
    </xf>
    <xf numFmtId="176" fontId="47" fillId="0" borderId="12" xfId="0" applyNumberFormat="1" applyFont="1" applyBorder="1" applyAlignment="1">
      <alignment horizontal="right" vertical="center" wrapText="1"/>
    </xf>
    <xf numFmtId="176" fontId="1" fillId="0" borderId="14" xfId="0" applyNumberFormat="1" applyFont="1" applyBorder="1" applyAlignment="1">
      <alignment horizontal="right" vertical="center" wrapText="1"/>
    </xf>
    <xf numFmtId="176" fontId="1" fillId="0" borderId="29" xfId="0" applyNumberFormat="1" applyFont="1" applyBorder="1" applyAlignment="1">
      <alignment horizontal="right" vertical="center" wrapText="1"/>
    </xf>
    <xf numFmtId="176" fontId="17" fillId="0" borderId="6" xfId="16" applyNumberFormat="1" applyFont="1" applyBorder="1" applyAlignment="1">
      <alignment horizontal="right" vertical="center" wrapText="1"/>
    </xf>
    <xf numFmtId="176" fontId="17" fillId="0" borderId="15" xfId="16" applyNumberFormat="1" applyFont="1" applyBorder="1" applyAlignment="1">
      <alignment horizontal="right" vertical="center" wrapText="1"/>
    </xf>
    <xf numFmtId="176" fontId="41" fillId="0" borderId="6" xfId="0" applyNumberFormat="1" applyFont="1" applyBorder="1" applyAlignment="1">
      <alignment horizontal="right" vertical="center" wrapText="1"/>
    </xf>
    <xf numFmtId="176" fontId="1" fillId="0" borderId="15" xfId="0" applyNumberFormat="1" applyFont="1" applyBorder="1" applyAlignment="1">
      <alignment vertical="center" wrapText="1"/>
    </xf>
    <xf numFmtId="176" fontId="1" fillId="0" borderId="64" xfId="0" applyNumberFormat="1" applyFont="1" applyBorder="1" applyAlignment="1">
      <alignment horizontal="right" vertical="center" wrapText="1"/>
    </xf>
    <xf numFmtId="176" fontId="1" fillId="0" borderId="65" xfId="0" applyNumberFormat="1" applyFont="1" applyBorder="1" applyAlignment="1">
      <alignment horizontal="right" vertical="center" wrapText="1"/>
    </xf>
    <xf numFmtId="176" fontId="1" fillId="0" borderId="66" xfId="0" applyNumberFormat="1" applyFont="1" applyBorder="1" applyAlignment="1">
      <alignment horizontal="right" vertical="center" wrapText="1"/>
    </xf>
    <xf numFmtId="176" fontId="1" fillId="0" borderId="18" xfId="0" applyNumberFormat="1" applyFont="1" applyBorder="1" applyAlignment="1">
      <alignment horizontal="right" vertical="center" wrapText="1"/>
    </xf>
    <xf numFmtId="176" fontId="1" fillId="0" borderId="19" xfId="0" applyNumberFormat="1" applyFont="1" applyBorder="1" applyAlignment="1">
      <alignment horizontal="right" vertical="center" wrapText="1"/>
    </xf>
    <xf numFmtId="176" fontId="1" fillId="0" borderId="43" xfId="0" applyNumberFormat="1" applyFont="1" applyBorder="1" applyAlignment="1">
      <alignment horizontal="right" vertical="center" wrapText="1"/>
    </xf>
    <xf numFmtId="176" fontId="17" fillId="0" borderId="33" xfId="16" applyNumberFormat="1" applyFont="1" applyBorder="1" applyAlignment="1">
      <alignment horizontal="right" vertical="center" wrapText="1"/>
    </xf>
    <xf numFmtId="176" fontId="17" fillId="0" borderId="29" xfId="16" applyNumberFormat="1" applyFont="1" applyBorder="1" applyAlignment="1">
      <alignment horizontal="right" vertical="center" wrapText="1"/>
    </xf>
    <xf numFmtId="176" fontId="17" fillId="0" borderId="34" xfId="16" applyNumberFormat="1" applyFont="1" applyBorder="1" applyAlignment="1">
      <alignment horizontal="right" vertical="center" wrapText="1"/>
    </xf>
    <xf numFmtId="176" fontId="17" fillId="0" borderId="13" xfId="16" applyNumberFormat="1" applyFont="1" applyBorder="1" applyAlignment="1">
      <alignment horizontal="right" vertical="center" wrapText="1"/>
    </xf>
    <xf numFmtId="176" fontId="17" fillId="0" borderId="14" xfId="16" applyNumberFormat="1" applyFont="1" applyBorder="1" applyAlignment="1">
      <alignment horizontal="right" vertical="center" wrapText="1"/>
    </xf>
    <xf numFmtId="176" fontId="17" fillId="0" borderId="12" xfId="16" applyNumberFormat="1" applyFont="1" applyBorder="1" applyAlignment="1">
      <alignment horizontal="right" vertical="center" wrapText="1"/>
    </xf>
    <xf numFmtId="176" fontId="17" fillId="0" borderId="32" xfId="16" applyNumberFormat="1" applyFont="1" applyBorder="1" applyAlignment="1">
      <alignment horizontal="righ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1" xfId="0" applyFont="1" applyFill="1" applyBorder="1" applyAlignment="1">
      <alignment horizontal="center" vertical="center" wrapText="1"/>
    </xf>
    <xf numFmtId="0" fontId="40" fillId="3" borderId="9" xfId="0" applyFont="1" applyFill="1" applyBorder="1" applyAlignment="1">
      <alignment horizontal="center" vertical="center" wrapText="1"/>
    </xf>
    <xf numFmtId="0" fontId="40" fillId="3" borderId="36" xfId="0" applyFont="1" applyFill="1" applyBorder="1" applyAlignment="1">
      <alignment horizontal="center" vertical="center" wrapText="1"/>
    </xf>
    <xf numFmtId="176" fontId="3" fillId="3" borderId="5" xfId="0" applyNumberFormat="1" applyFont="1" applyFill="1" applyBorder="1" applyAlignment="1">
      <alignment horizontal="center" vertical="center" wrapText="1"/>
    </xf>
    <xf numFmtId="176" fontId="3" fillId="3" borderId="6" xfId="0" applyNumberFormat="1" applyFont="1" applyFill="1" applyBorder="1" applyAlignment="1">
      <alignment horizontal="center" vertical="center" wrapText="1"/>
    </xf>
    <xf numFmtId="176" fontId="3" fillId="2" borderId="2" xfId="0" applyNumberFormat="1" applyFont="1" applyFill="1" applyBorder="1" applyAlignment="1">
      <alignment horizontal="center" vertical="center" wrapText="1"/>
    </xf>
    <xf numFmtId="176" fontId="3" fillId="2" borderId="31" xfId="0" applyNumberFormat="1"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176" fontId="3" fillId="2" borderId="8"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49" fontId="1" fillId="0" borderId="6" xfId="0" applyNumberFormat="1" applyFont="1" applyBorder="1" applyAlignment="1">
      <alignment horizontal="center" vertical="center" wrapText="1"/>
    </xf>
    <xf numFmtId="176" fontId="3" fillId="0" borderId="32" xfId="0" applyNumberFormat="1" applyFont="1" applyBorder="1" applyAlignment="1">
      <alignment vertical="center" wrapText="1"/>
    </xf>
    <xf numFmtId="0" fontId="1" fillId="0" borderId="9" xfId="0" applyFont="1" applyBorder="1" applyAlignment="1">
      <alignment horizontal="right" vertical="center" wrapText="1"/>
    </xf>
    <xf numFmtId="0" fontId="1" fillId="0" borderId="10" xfId="0" applyFont="1" applyBorder="1" applyAlignment="1">
      <alignment horizontal="right" vertical="center" wrapText="1"/>
    </xf>
    <xf numFmtId="176" fontId="1" fillId="0" borderId="5" xfId="0" applyNumberFormat="1" applyFont="1" applyBorder="1" applyAlignment="1">
      <alignment horizontal="right" vertical="center" wrapText="1"/>
    </xf>
    <xf numFmtId="0" fontId="26" fillId="0" borderId="6" xfId="0" applyFont="1" applyBorder="1" applyAlignment="1">
      <alignment horizontal="center" vertical="center" wrapText="1"/>
    </xf>
    <xf numFmtId="0" fontId="3" fillId="0" borderId="9" xfId="0" applyFont="1" applyBorder="1" applyAlignment="1">
      <alignment horizontal="center" vertical="center" wrapText="1"/>
    </xf>
    <xf numFmtId="0" fontId="3" fillId="0" borderId="9" xfId="0" applyFont="1" applyBorder="1" applyAlignment="1">
      <alignment horizontal="left" vertical="center" wrapText="1"/>
    </xf>
    <xf numFmtId="0" fontId="3" fillId="10" borderId="1"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3" fillId="5" borderId="68" xfId="0" applyFont="1" applyFill="1" applyBorder="1" applyAlignment="1">
      <alignment horizontal="center" vertical="center" wrapText="1"/>
    </xf>
    <xf numFmtId="0" fontId="3" fillId="5" borderId="59" xfId="0" applyFont="1" applyFill="1" applyBorder="1" applyAlignment="1">
      <alignment horizontal="center" vertical="center" wrapText="1"/>
    </xf>
    <xf numFmtId="0" fontId="3" fillId="5" borderId="67" xfId="0" applyFont="1" applyFill="1" applyBorder="1" applyAlignment="1">
      <alignment horizontal="center" vertical="center" wrapText="1"/>
    </xf>
    <xf numFmtId="176" fontId="3" fillId="4" borderId="26" xfId="0" applyNumberFormat="1" applyFont="1" applyFill="1" applyBorder="1" applyAlignment="1">
      <alignment horizontal="center" vertical="center" wrapText="1"/>
    </xf>
    <xf numFmtId="176" fontId="3" fillId="4" borderId="45" xfId="0" applyNumberFormat="1"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49" fontId="3" fillId="0" borderId="6" xfId="0" applyNumberFormat="1" applyFont="1" applyBorder="1" applyAlignment="1">
      <alignment horizontal="center" vertical="center" wrapText="1" shrinkToFit="1"/>
    </xf>
    <xf numFmtId="49" fontId="3" fillId="0" borderId="8" xfId="0" applyNumberFormat="1" applyFont="1" applyBorder="1" applyAlignment="1">
      <alignment horizontal="center" vertical="center" wrapText="1" shrinkToFit="1"/>
    </xf>
    <xf numFmtId="49" fontId="3" fillId="0" borderId="32" xfId="0" applyNumberFormat="1" applyFont="1" applyBorder="1" applyAlignment="1">
      <alignment horizontal="center" vertical="center" wrapText="1"/>
    </xf>
    <xf numFmtId="49" fontId="3" fillId="0" borderId="39" xfId="0" applyNumberFormat="1" applyFont="1" applyBorder="1" applyAlignment="1">
      <alignment horizontal="center" vertical="center" wrapText="1"/>
    </xf>
    <xf numFmtId="0" fontId="3" fillId="10" borderId="25" xfId="0" applyFont="1" applyFill="1" applyBorder="1" applyAlignment="1">
      <alignment horizontal="center" vertical="center" wrapText="1"/>
    </xf>
    <xf numFmtId="0" fontId="46" fillId="4" borderId="13" xfId="0" applyFont="1" applyFill="1" applyBorder="1" applyAlignment="1">
      <alignment horizontal="center" vertical="center" wrapText="1"/>
    </xf>
    <xf numFmtId="0" fontId="46" fillId="4" borderId="35" xfId="0"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3" fillId="4" borderId="54"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4" borderId="55" xfId="0" applyNumberFormat="1" applyFont="1" applyFill="1" applyBorder="1" applyAlignment="1">
      <alignment horizontal="center" vertical="center" wrapText="1"/>
    </xf>
    <xf numFmtId="176" fontId="48" fillId="4" borderId="33" xfId="0" applyNumberFormat="1" applyFont="1" applyFill="1" applyBorder="1" applyAlignment="1">
      <alignment horizontal="center" vertical="center" wrapText="1"/>
    </xf>
    <xf numFmtId="176" fontId="48" fillId="4" borderId="30" xfId="0" applyNumberFormat="1" applyFont="1" applyFill="1" applyBorder="1" applyAlignment="1">
      <alignment horizontal="center" vertical="center" wrapText="1"/>
    </xf>
    <xf numFmtId="176" fontId="3" fillId="3" borderId="26" xfId="0" applyNumberFormat="1" applyFont="1" applyFill="1" applyBorder="1" applyAlignment="1">
      <alignment horizontal="center" vertical="center" wrapText="1"/>
    </xf>
    <xf numFmtId="176" fontId="3" fillId="3" borderId="60" xfId="0" applyNumberFormat="1" applyFont="1" applyFill="1" applyBorder="1" applyAlignment="1">
      <alignment horizontal="center" vertical="center" wrapText="1"/>
    </xf>
    <xf numFmtId="176" fontId="3" fillId="2" borderId="32" xfId="0" applyNumberFormat="1" applyFont="1" applyFill="1" applyBorder="1" applyAlignment="1">
      <alignment horizontal="center" vertical="center" wrapText="1"/>
    </xf>
    <xf numFmtId="176" fontId="3" fillId="2" borderId="39"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1" xfId="0" applyFont="1" applyBorder="1" applyAlignment="1">
      <alignment horizontal="center" vertical="center" wrapText="1"/>
    </xf>
    <xf numFmtId="0" fontId="1" fillId="10" borderId="25" xfId="0" applyFont="1" applyFill="1" applyBorder="1" applyAlignment="1">
      <alignment horizontal="center" vertical="center" wrapText="1"/>
    </xf>
    <xf numFmtId="0" fontId="1" fillId="0" borderId="25" xfId="0" applyFont="1" applyBorder="1" applyAlignment="1">
      <alignment horizontal="center" vertical="center" wrapText="1"/>
    </xf>
    <xf numFmtId="0" fontId="22" fillId="0" borderId="5" xfId="0" applyFont="1" applyBorder="1" applyAlignment="1">
      <alignment horizontal="left" vertical="center" wrapText="1"/>
    </xf>
    <xf numFmtId="0" fontId="22" fillId="0" borderId="13" xfId="0" applyFont="1" applyBorder="1" applyAlignment="1">
      <alignment horizontal="left" vertical="center" wrapText="1"/>
    </xf>
    <xf numFmtId="0" fontId="43" fillId="0" borderId="42" xfId="0" applyFont="1" applyBorder="1" applyAlignment="1">
      <alignment horizontal="center" vertical="center" wrapText="1"/>
    </xf>
    <xf numFmtId="0" fontId="43" fillId="0" borderId="37" xfId="0" applyFont="1" applyBorder="1" applyAlignment="1">
      <alignment horizontal="center" vertical="center" wrapText="1"/>
    </xf>
    <xf numFmtId="0" fontId="43" fillId="0" borderId="37" xfId="0" applyFont="1" applyBorder="1" applyAlignment="1">
      <alignment horizontal="left" vertical="center" wrapText="1"/>
    </xf>
    <xf numFmtId="0" fontId="1" fillId="0" borderId="2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1" fillId="0" borderId="12" xfId="0" applyFont="1" applyBorder="1" applyAlignment="1">
      <alignment horizontal="left" vertical="center" wrapText="1"/>
    </xf>
    <xf numFmtId="0" fontId="1" fillId="0" borderId="5" xfId="0" applyFont="1" applyBorder="1" applyAlignment="1">
      <alignment horizontal="left" vertical="center" wrapText="1"/>
    </xf>
    <xf numFmtId="0" fontId="1" fillId="0" borderId="5" xfId="0" applyFont="1" applyBorder="1" applyAlignment="1">
      <alignment vertical="center" wrapText="1"/>
    </xf>
    <xf numFmtId="0" fontId="1" fillId="0" borderId="6"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center" vertical="center" wrapText="1"/>
    </xf>
    <xf numFmtId="0" fontId="1" fillId="0" borderId="6" xfId="0" applyFont="1" applyBorder="1" applyAlignment="1">
      <alignment horizontal="center" vertical="center"/>
    </xf>
    <xf numFmtId="0" fontId="1" fillId="0" borderId="9" xfId="0" applyFont="1" applyBorder="1" applyAlignment="1">
      <alignment horizontal="center" vertical="center"/>
    </xf>
    <xf numFmtId="49" fontId="3" fillId="0" borderId="6" xfId="0" applyNumberFormat="1" applyFont="1" applyBorder="1" applyAlignment="1">
      <alignment horizontal="center" vertical="center" wrapText="1"/>
    </xf>
    <xf numFmtId="49" fontId="3" fillId="0" borderId="8" xfId="0" applyNumberFormat="1" applyFont="1" applyBorder="1" applyAlignment="1">
      <alignment horizontal="center" vertical="center" wrapText="1"/>
    </xf>
    <xf numFmtId="49" fontId="1" fillId="0" borderId="10" xfId="0" applyNumberFormat="1" applyFont="1" applyBorder="1" applyAlignment="1">
      <alignment horizontal="center" vertical="center" wrapText="1"/>
    </xf>
    <xf numFmtId="49" fontId="1" fillId="0" borderId="9" xfId="0" applyNumberFormat="1" applyFont="1" applyBorder="1" applyAlignment="1">
      <alignment horizontal="center" vertical="center" wrapText="1"/>
    </xf>
    <xf numFmtId="49" fontId="1" fillId="0" borderId="32" xfId="0" applyNumberFormat="1" applyFont="1" applyBorder="1" applyAlignment="1">
      <alignment horizontal="center" vertical="center" wrapText="1"/>
    </xf>
    <xf numFmtId="0" fontId="1" fillId="0" borderId="32" xfId="0" applyFont="1" applyBorder="1" applyAlignment="1">
      <alignment horizontal="center" vertical="center"/>
    </xf>
    <xf numFmtId="0" fontId="1" fillId="0" borderId="33" xfId="0" applyFont="1" applyBorder="1" applyAlignment="1">
      <alignment horizontal="center" vertical="center"/>
    </xf>
    <xf numFmtId="176" fontId="3" fillId="2" borderId="5" xfId="0" applyNumberFormat="1" applyFont="1" applyFill="1" applyBorder="1" applyAlignment="1">
      <alignment horizontal="center" vertical="center" wrapText="1"/>
    </xf>
    <xf numFmtId="176" fontId="3" fillId="2" borderId="7" xfId="0" applyNumberFormat="1" applyFont="1" applyFill="1" applyBorder="1" applyAlignment="1">
      <alignment horizontal="center" vertical="center" wrapText="1"/>
    </xf>
    <xf numFmtId="176" fontId="17" fillId="0" borderId="5" xfId="16" applyNumberFormat="1" applyFont="1" applyBorder="1" applyAlignment="1">
      <alignment horizontal="right" vertical="center" wrapText="1"/>
    </xf>
    <xf numFmtId="49" fontId="1" fillId="0" borderId="34" xfId="0" applyNumberFormat="1" applyFont="1" applyBorder="1" applyAlignment="1">
      <alignment horizontal="center" vertical="center" wrapText="1"/>
    </xf>
    <xf numFmtId="176" fontId="1" fillId="0" borderId="6" xfId="0" applyNumberFormat="1" applyFont="1" applyBorder="1" applyAlignment="1">
      <alignment horizontal="center" vertical="center" wrapText="1"/>
    </xf>
    <xf numFmtId="178" fontId="1" fillId="0" borderId="6" xfId="0" applyNumberFormat="1" applyFont="1" applyBorder="1" applyAlignment="1">
      <alignment horizontal="right" vertical="center" wrapText="1"/>
    </xf>
    <xf numFmtId="49" fontId="6" fillId="0" borderId="10" xfId="0" applyNumberFormat="1" applyFont="1" applyBorder="1" applyAlignment="1">
      <alignment horizontal="center" vertical="center" wrapText="1"/>
    </xf>
    <xf numFmtId="176" fontId="49" fillId="0" borderId="34" xfId="0" applyNumberFormat="1" applyFont="1" applyBorder="1" applyAlignment="1">
      <alignment horizontal="right" vertical="center" wrapText="1"/>
    </xf>
    <xf numFmtId="176" fontId="49" fillId="0" borderId="32" xfId="0" applyNumberFormat="1" applyFont="1" applyBorder="1" applyAlignment="1">
      <alignment horizontal="right" vertical="center" wrapText="1"/>
    </xf>
    <xf numFmtId="0" fontId="1" fillId="0" borderId="59" xfId="0" applyFont="1" applyBorder="1" applyAlignment="1">
      <alignment horizontal="center" vertical="center" wrapText="1"/>
    </xf>
    <xf numFmtId="0" fontId="1" fillId="0" borderId="58" xfId="0" applyFont="1" applyBorder="1" applyAlignment="1">
      <alignment horizontal="center" vertical="center" wrapText="1"/>
    </xf>
    <xf numFmtId="176" fontId="49" fillId="0" borderId="33" xfId="0" applyNumberFormat="1" applyFont="1" applyBorder="1" applyAlignment="1">
      <alignment horizontal="right" vertical="center" wrapText="1"/>
    </xf>
    <xf numFmtId="176" fontId="3" fillId="0" borderId="0" xfId="0" applyNumberFormat="1" applyFont="1" applyAlignment="1" applyProtection="1">
      <alignment horizontal="center" vertical="center" wrapText="1"/>
      <protection locked="0"/>
    </xf>
    <xf numFmtId="0" fontId="1" fillId="0" borderId="59" xfId="0" applyFont="1" applyBorder="1" applyAlignment="1">
      <alignment horizontal="left" vertical="center" wrapText="1"/>
    </xf>
    <xf numFmtId="0" fontId="3" fillId="0" borderId="57"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59" xfId="0" applyFont="1" applyBorder="1" applyAlignment="1">
      <alignment horizontal="left" vertical="center" wrapText="1"/>
    </xf>
    <xf numFmtId="176" fontId="49" fillId="0" borderId="39" xfId="0" applyNumberFormat="1" applyFont="1" applyBorder="1" applyAlignment="1">
      <alignment horizontal="right" vertical="center" wrapText="1"/>
    </xf>
    <xf numFmtId="0" fontId="3" fillId="0" borderId="59" xfId="0" applyFont="1" applyBorder="1" applyAlignment="1">
      <alignment vertical="center" wrapText="1"/>
    </xf>
    <xf numFmtId="0" fontId="3" fillId="0" borderId="67" xfId="0" applyFont="1" applyBorder="1" applyAlignment="1">
      <alignment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78" fillId="0" borderId="6" xfId="0" applyFont="1" applyBorder="1" applyAlignment="1">
      <alignment horizontal="left" vertical="center" wrapText="1"/>
    </xf>
    <xf numFmtId="0" fontId="78" fillId="0" borderId="8" xfId="0" applyFont="1" applyBorder="1" applyAlignment="1">
      <alignment horizontal="left" vertical="center" wrapText="1"/>
    </xf>
    <xf numFmtId="0" fontId="78" fillId="0" borderId="9" xfId="0" applyFont="1" applyBorder="1" applyAlignment="1">
      <alignment vertical="center" wrapText="1"/>
    </xf>
    <xf numFmtId="0" fontId="78" fillId="0" borderId="15" xfId="0" applyFont="1" applyBorder="1" applyAlignment="1">
      <alignment vertical="center" wrapText="1"/>
    </xf>
    <xf numFmtId="0" fontId="78" fillId="0" borderId="36" xfId="0" applyFont="1" applyBorder="1" applyAlignment="1">
      <alignment vertical="center" wrapText="1"/>
    </xf>
    <xf numFmtId="0" fontId="1" fillId="13" borderId="6" xfId="0" applyFont="1" applyFill="1" applyBorder="1" applyAlignment="1">
      <alignment horizontal="left" vertical="center" wrapText="1"/>
    </xf>
    <xf numFmtId="0" fontId="1" fillId="13" borderId="8" xfId="0" applyFont="1" applyFill="1" applyBorder="1" applyAlignment="1">
      <alignment horizontal="left" vertical="center" wrapText="1"/>
    </xf>
    <xf numFmtId="0" fontId="1" fillId="0" borderId="8" xfId="0" applyFont="1" applyBorder="1" applyAlignment="1">
      <alignment horizontal="left" vertical="center" wrapText="1"/>
    </xf>
    <xf numFmtId="0" fontId="1" fillId="0" borderId="8" xfId="0" applyFont="1" applyBorder="1" applyAlignment="1">
      <alignment horizontal="center" vertical="center" wrapText="1"/>
    </xf>
    <xf numFmtId="49" fontId="1" fillId="0" borderId="8" xfId="0" applyNumberFormat="1" applyFont="1" applyBorder="1" applyAlignment="1">
      <alignment horizontal="center" vertical="center" wrapText="1"/>
    </xf>
    <xf numFmtId="49" fontId="1" fillId="0" borderId="39" xfId="0" applyNumberFormat="1" applyFont="1" applyBorder="1" applyAlignment="1">
      <alignment horizontal="center" vertical="center" wrapText="1"/>
    </xf>
    <xf numFmtId="176" fontId="17" fillId="0" borderId="7" xfId="16" applyNumberFormat="1" applyFont="1" applyBorder="1" applyAlignment="1">
      <alignment horizontal="right" vertical="center" wrapText="1"/>
    </xf>
    <xf numFmtId="176" fontId="17" fillId="0" borderId="6" xfId="16" applyNumberFormat="1" applyFont="1" applyBorder="1" applyAlignment="1">
      <alignment vertical="center" wrapText="1"/>
    </xf>
    <xf numFmtId="176" fontId="17" fillId="0" borderId="8" xfId="16" applyNumberFormat="1" applyFont="1" applyBorder="1" applyAlignment="1">
      <alignment vertical="center" wrapText="1"/>
    </xf>
    <xf numFmtId="176" fontId="17" fillId="0" borderId="8" xfId="16" applyNumberFormat="1" applyFont="1" applyBorder="1" applyAlignment="1">
      <alignment horizontal="right" vertical="center" wrapText="1"/>
    </xf>
    <xf numFmtId="176" fontId="17" fillId="0" borderId="32" xfId="16" applyNumberFormat="1" applyFont="1" applyBorder="1" applyAlignment="1">
      <alignment vertical="center" wrapText="1"/>
    </xf>
    <xf numFmtId="176" fontId="17" fillId="0" borderId="39" xfId="16" applyNumberFormat="1" applyFont="1" applyBorder="1" applyAlignment="1">
      <alignment vertical="center" wrapText="1"/>
    </xf>
    <xf numFmtId="176" fontId="41" fillId="0" borderId="6" xfId="16" applyNumberFormat="1" applyFont="1" applyBorder="1" applyAlignment="1">
      <alignment vertical="center" wrapText="1"/>
    </xf>
    <xf numFmtId="176" fontId="41" fillId="0" borderId="8" xfId="16" applyNumberFormat="1" applyFont="1" applyBorder="1" applyAlignment="1">
      <alignment vertical="center" wrapText="1"/>
    </xf>
    <xf numFmtId="176" fontId="10" fillId="0" borderId="32" xfId="16" applyNumberFormat="1" applyFont="1" applyBorder="1" applyAlignment="1">
      <alignment vertical="center" wrapText="1"/>
    </xf>
    <xf numFmtId="176" fontId="10" fillId="0" borderId="39" xfId="16" applyNumberFormat="1" applyFont="1" applyBorder="1" applyAlignment="1">
      <alignment vertical="center" wrapText="1"/>
    </xf>
    <xf numFmtId="176" fontId="47" fillId="0" borderId="7" xfId="0" applyNumberFormat="1" applyFont="1" applyBorder="1" applyAlignment="1">
      <alignment horizontal="right" vertical="center" wrapText="1"/>
    </xf>
    <xf numFmtId="0" fontId="78" fillId="0" borderId="10" xfId="0" applyFont="1" applyBorder="1" applyAlignment="1">
      <alignment vertical="center" wrapText="1"/>
    </xf>
    <xf numFmtId="176" fontId="3" fillId="0" borderId="6" xfId="0" applyNumberFormat="1" applyFont="1" applyBorder="1" applyAlignment="1">
      <alignment horizontal="right" vertical="center" wrapText="1"/>
    </xf>
    <xf numFmtId="0" fontId="78" fillId="9" borderId="6" xfId="0" applyFont="1" applyFill="1" applyBorder="1" applyAlignment="1">
      <alignment horizontal="left" vertical="center" wrapText="1"/>
    </xf>
    <xf numFmtId="0" fontId="78" fillId="0" borderId="9" xfId="0" applyFont="1" applyBorder="1" applyAlignment="1">
      <alignment horizontal="left" vertical="center" wrapText="1"/>
    </xf>
    <xf numFmtId="0" fontId="78" fillId="0" borderId="15" xfId="0" applyFont="1" applyBorder="1" applyAlignment="1">
      <alignment horizontal="left" vertical="center" wrapText="1"/>
    </xf>
    <xf numFmtId="0" fontId="78" fillId="0" borderId="10" xfId="0" applyFont="1" applyBorder="1" applyAlignment="1">
      <alignment horizontal="left" vertical="center" wrapText="1"/>
    </xf>
    <xf numFmtId="0" fontId="1" fillId="0" borderId="32" xfId="0" applyFont="1" applyBorder="1" applyAlignment="1">
      <alignment horizontal="center" vertical="center" wrapText="1"/>
    </xf>
    <xf numFmtId="0" fontId="1" fillId="14" borderId="6" xfId="0" applyFont="1" applyFill="1" applyBorder="1" applyAlignment="1">
      <alignment horizontal="left" vertical="center" wrapText="1"/>
    </xf>
    <xf numFmtId="49" fontId="1" fillId="0" borderId="6" xfId="0" applyNumberFormat="1" applyFont="1" applyBorder="1" applyAlignment="1">
      <alignment horizontal="left" vertical="center" wrapText="1"/>
    </xf>
    <xf numFmtId="49" fontId="1" fillId="0" borderId="32" xfId="0" applyNumberFormat="1" applyFont="1" applyBorder="1" applyAlignment="1">
      <alignment horizontal="left" vertical="center" wrapText="1"/>
    </xf>
    <xf numFmtId="0" fontId="24" fillId="0" borderId="0" xfId="0" applyFont="1" applyAlignment="1">
      <alignment horizontal="center" vertical="center" wrapText="1"/>
    </xf>
    <xf numFmtId="0" fontId="12" fillId="0" borderId="0" xfId="0" applyFont="1" applyAlignment="1">
      <alignment horizontal="center" vertical="center" wrapText="1"/>
    </xf>
    <xf numFmtId="0" fontId="1" fillId="10" borderId="0" xfId="0" applyFont="1" applyFill="1" applyAlignment="1">
      <alignment horizontal="left" vertical="center" wrapText="1"/>
    </xf>
    <xf numFmtId="0" fontId="3" fillId="0" borderId="1" xfId="0" applyFont="1" applyBorder="1" applyAlignment="1">
      <alignment horizontal="center" vertical="center" wrapText="1"/>
    </xf>
    <xf numFmtId="0" fontId="1" fillId="10" borderId="5" xfId="0" applyFont="1" applyFill="1" applyBorder="1" applyAlignment="1">
      <alignment horizontal="center" vertical="center" wrapText="1"/>
    </xf>
    <xf numFmtId="0" fontId="59" fillId="0" borderId="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2" xfId="0" applyFont="1" applyBorder="1" applyAlignment="1">
      <alignment horizontal="center" vertical="center" wrapText="1"/>
    </xf>
    <xf numFmtId="176" fontId="3" fillId="0" borderId="9" xfId="0" applyNumberFormat="1" applyFont="1" applyBorder="1" applyAlignment="1">
      <alignment horizontal="right" vertical="center" wrapText="1"/>
    </xf>
    <xf numFmtId="176" fontId="3" fillId="0" borderId="15" xfId="0" applyNumberFormat="1" applyFont="1" applyBorder="1" applyAlignment="1">
      <alignment horizontal="right" vertical="center" wrapText="1"/>
    </xf>
    <xf numFmtId="176" fontId="3" fillId="0" borderId="10" xfId="0" applyNumberFormat="1" applyFont="1" applyBorder="1" applyAlignment="1">
      <alignment horizontal="right" vertical="center" wrapText="1"/>
    </xf>
    <xf numFmtId="0" fontId="3" fillId="0" borderId="42" xfId="0" applyFont="1" applyBorder="1" applyAlignment="1">
      <alignment horizontal="center" vertical="center" wrapText="1"/>
    </xf>
    <xf numFmtId="0" fontId="3" fillId="0" borderId="37" xfId="0" applyFont="1" applyBorder="1" applyAlignment="1">
      <alignment horizontal="center" vertical="center" wrapText="1"/>
    </xf>
    <xf numFmtId="49" fontId="1" fillId="0" borderId="11" xfId="0" applyNumberFormat="1" applyFont="1" applyBorder="1" applyAlignment="1">
      <alignment horizontal="left" vertical="center" wrapText="1"/>
    </xf>
    <xf numFmtId="49" fontId="1" fillId="0" borderId="61" xfId="0" applyNumberFormat="1" applyFont="1" applyBorder="1" applyAlignment="1">
      <alignment horizontal="left" vertical="center" wrapText="1"/>
    </xf>
    <xf numFmtId="176" fontId="3" fillId="0" borderId="8" xfId="0" applyNumberFormat="1" applyFont="1" applyBorder="1" applyAlignment="1">
      <alignment horizontal="right" vertical="center" wrapText="1"/>
    </xf>
    <xf numFmtId="176" fontId="1" fillId="0" borderId="8" xfId="0" applyNumberFormat="1" applyFont="1" applyBorder="1" applyAlignment="1">
      <alignment horizontal="right" vertical="center" wrapText="1"/>
    </xf>
    <xf numFmtId="178" fontId="59" fillId="0" borderId="0" xfId="0" applyNumberFormat="1" applyFont="1" applyAlignment="1">
      <alignment horizontal="center" vertical="center" wrapText="1"/>
    </xf>
    <xf numFmtId="0" fontId="46" fillId="4" borderId="5" xfId="0" applyFont="1" applyFill="1" applyBorder="1" applyAlignment="1">
      <alignment horizontal="center" vertical="center" wrapText="1"/>
    </xf>
    <xf numFmtId="49" fontId="3" fillId="4" borderId="1"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49" fontId="3" fillId="4" borderId="31" xfId="0" applyNumberFormat="1" applyFont="1" applyFill="1" applyBorder="1" applyAlignment="1">
      <alignment horizontal="center" vertical="center" wrapText="1"/>
    </xf>
    <xf numFmtId="176" fontId="48" fillId="4" borderId="32" xfId="0" applyNumberFormat="1" applyFont="1" applyFill="1" applyBorder="1" applyAlignment="1">
      <alignment horizontal="center" vertical="center" wrapText="1"/>
    </xf>
    <xf numFmtId="176" fontId="3" fillId="4" borderId="6" xfId="0" applyNumberFormat="1" applyFont="1" applyFill="1" applyBorder="1" applyAlignment="1">
      <alignment horizontal="center" vertical="center" wrapText="1"/>
    </xf>
    <xf numFmtId="0" fontId="40" fillId="3" borderId="6" xfId="0" applyFont="1" applyFill="1" applyBorder="1" applyAlignment="1">
      <alignment horizontal="center" vertical="center" wrapText="1"/>
    </xf>
    <xf numFmtId="176" fontId="3" fillId="3" borderId="32" xfId="0" applyNumberFormat="1" applyFont="1" applyFill="1" applyBorder="1" applyAlignment="1">
      <alignment horizontal="center" vertical="center" wrapText="1"/>
    </xf>
    <xf numFmtId="176" fontId="52" fillId="0" borderId="9" xfId="0" applyNumberFormat="1" applyFont="1" applyBorder="1" applyAlignment="1">
      <alignment horizontal="right" vertical="center" wrapText="1"/>
    </xf>
    <xf numFmtId="176" fontId="52" fillId="0" borderId="10" xfId="0" applyNumberFormat="1" applyFont="1" applyBorder="1" applyAlignment="1">
      <alignment horizontal="right" vertical="center" wrapText="1"/>
    </xf>
    <xf numFmtId="176" fontId="52" fillId="0" borderId="15" xfId="0" applyNumberFormat="1" applyFont="1" applyBorder="1" applyAlignment="1">
      <alignment horizontal="right" vertical="center" wrapText="1"/>
    </xf>
    <xf numFmtId="176" fontId="10" fillId="0" borderId="9" xfId="16" applyNumberFormat="1" applyFont="1" applyBorder="1" applyAlignment="1">
      <alignment horizontal="right" vertical="center" wrapText="1"/>
    </xf>
    <xf numFmtId="176" fontId="10" fillId="0" borderId="15" xfId="16" applyNumberFormat="1" applyFont="1" applyBorder="1" applyAlignment="1">
      <alignment horizontal="right" vertical="center" wrapText="1"/>
    </xf>
    <xf numFmtId="176" fontId="10" fillId="0" borderId="10" xfId="16" applyNumberFormat="1" applyFont="1" applyBorder="1" applyAlignment="1">
      <alignment horizontal="right" vertical="center" wrapText="1"/>
    </xf>
    <xf numFmtId="176" fontId="10" fillId="0" borderId="6" xfId="16" applyNumberFormat="1" applyFont="1" applyBorder="1" applyAlignment="1">
      <alignment horizontal="right" vertical="center" wrapText="1"/>
    </xf>
    <xf numFmtId="176" fontId="10" fillId="0" borderId="18" xfId="16" applyNumberFormat="1" applyFont="1" applyBorder="1" applyAlignment="1">
      <alignment horizontal="right" vertical="center" wrapText="1"/>
    </xf>
    <xf numFmtId="176" fontId="10" fillId="0" borderId="43" xfId="16" applyNumberFormat="1" applyFont="1" applyBorder="1" applyAlignment="1">
      <alignment horizontal="right" vertical="center" wrapText="1"/>
    </xf>
    <xf numFmtId="176" fontId="10" fillId="0" borderId="19" xfId="16" applyNumberFormat="1" applyFont="1" applyBorder="1" applyAlignment="1">
      <alignment horizontal="right" vertical="center" wrapText="1"/>
    </xf>
    <xf numFmtId="176" fontId="4" fillId="0" borderId="9" xfId="16" applyNumberFormat="1" applyFont="1" applyBorder="1" applyAlignment="1">
      <alignment horizontal="right" vertical="center" wrapText="1"/>
    </xf>
    <xf numFmtId="176" fontId="4" fillId="0" borderId="10" xfId="16" applyNumberFormat="1" applyFont="1" applyBorder="1" applyAlignment="1">
      <alignment horizontal="right" vertical="center" wrapText="1"/>
    </xf>
    <xf numFmtId="176" fontId="4" fillId="0" borderId="9" xfId="0" applyNumberFormat="1" applyFont="1" applyBorder="1" applyAlignment="1">
      <alignment horizontal="right" vertical="center" wrapText="1"/>
    </xf>
    <xf numFmtId="176" fontId="4" fillId="0" borderId="10" xfId="0" applyNumberFormat="1" applyFont="1" applyBorder="1" applyAlignment="1">
      <alignment horizontal="right" vertical="center" wrapText="1"/>
    </xf>
    <xf numFmtId="176" fontId="23" fillId="0" borderId="9" xfId="0" applyNumberFormat="1" applyFont="1" applyBorder="1" applyAlignment="1">
      <alignment horizontal="right" vertical="center" wrapText="1"/>
    </xf>
    <xf numFmtId="176" fontId="23" fillId="0" borderId="10" xfId="0" applyNumberFormat="1" applyFont="1" applyBorder="1" applyAlignment="1">
      <alignment horizontal="right" vertical="center" wrapText="1"/>
    </xf>
    <xf numFmtId="176" fontId="3" fillId="0" borderId="51" xfId="0" applyNumberFormat="1" applyFont="1" applyBorder="1" applyAlignment="1">
      <alignment horizontal="right" vertical="center" wrapText="1"/>
    </xf>
    <xf numFmtId="176" fontId="3" fillId="0" borderId="52" xfId="0" applyNumberFormat="1" applyFont="1" applyBorder="1" applyAlignment="1">
      <alignment horizontal="right" vertical="center" wrapText="1"/>
    </xf>
    <xf numFmtId="176" fontId="3" fillId="0" borderId="50" xfId="0" applyNumberFormat="1" applyFont="1" applyBorder="1" applyAlignment="1">
      <alignment horizontal="right" vertical="center" wrapText="1"/>
    </xf>
    <xf numFmtId="176" fontId="4" fillId="0" borderId="15" xfId="0" applyNumberFormat="1" applyFont="1" applyBorder="1" applyAlignment="1">
      <alignment horizontal="right" vertical="center" wrapText="1"/>
    </xf>
    <xf numFmtId="176" fontId="3" fillId="0" borderId="51" xfId="0" applyNumberFormat="1" applyFont="1" applyBorder="1" applyAlignment="1">
      <alignment horizontal="center" vertical="center" wrapText="1"/>
    </xf>
    <xf numFmtId="176" fontId="3" fillId="0" borderId="50" xfId="0" applyNumberFormat="1" applyFont="1" applyBorder="1" applyAlignment="1">
      <alignment horizontal="center" vertical="center" wrapText="1"/>
    </xf>
    <xf numFmtId="176" fontId="10" fillId="0" borderId="51" xfId="16" applyNumberFormat="1" applyFont="1" applyBorder="1" applyAlignment="1">
      <alignment horizontal="right" vertical="center" wrapText="1"/>
    </xf>
    <xf numFmtId="176" fontId="10" fillId="0" borderId="50" xfId="16" applyNumberFormat="1" applyFont="1" applyBorder="1" applyAlignment="1">
      <alignment horizontal="right" vertical="center" wrapText="1"/>
    </xf>
    <xf numFmtId="176" fontId="10" fillId="0" borderId="51" xfId="16" applyNumberFormat="1" applyFont="1" applyBorder="1" applyAlignment="1">
      <alignment horizontal="center" vertical="center" wrapText="1"/>
    </xf>
    <xf numFmtId="176" fontId="10" fillId="0" borderId="52" xfId="16" applyNumberFormat="1" applyFont="1" applyBorder="1" applyAlignment="1">
      <alignment horizontal="center" vertical="center" wrapText="1"/>
    </xf>
    <xf numFmtId="176" fontId="10" fillId="0" borderId="50" xfId="16" applyNumberFormat="1" applyFont="1" applyBorder="1" applyAlignment="1">
      <alignment horizontal="center" vertical="center" wrapText="1"/>
    </xf>
    <xf numFmtId="176" fontId="3" fillId="0" borderId="18" xfId="0" applyNumberFormat="1" applyFont="1" applyBorder="1" applyAlignment="1">
      <alignment horizontal="right" vertical="center" wrapText="1"/>
    </xf>
    <xf numFmtId="176" fontId="3" fillId="0" borderId="43" xfId="0" applyNumberFormat="1" applyFont="1" applyBorder="1" applyAlignment="1">
      <alignment horizontal="right" vertical="center" wrapText="1"/>
    </xf>
    <xf numFmtId="176" fontId="3" fillId="0" borderId="19" xfId="0" applyNumberFormat="1" applyFont="1" applyBorder="1" applyAlignment="1">
      <alignment horizontal="right" vertical="center" wrapText="1"/>
    </xf>
    <xf numFmtId="176" fontId="4" fillId="0" borderId="15" xfId="16" applyNumberFormat="1" applyFont="1" applyBorder="1" applyAlignment="1">
      <alignment horizontal="righ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6"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7" xfId="0" applyFont="1" applyFill="1" applyBorder="1" applyAlignment="1">
      <alignment horizontal="center" vertical="center" wrapText="1"/>
    </xf>
    <xf numFmtId="0" fontId="3" fillId="3" borderId="6" xfId="0" applyFont="1" applyFill="1" applyBorder="1" applyAlignment="1">
      <alignment horizontal="center" vertical="center" wrapText="1"/>
    </xf>
    <xf numFmtId="49" fontId="3" fillId="3" borderId="26" xfId="0" applyNumberFormat="1" applyFont="1" applyFill="1" applyBorder="1" applyAlignment="1">
      <alignment horizontal="center" vertical="center" wrapText="1"/>
    </xf>
    <xf numFmtId="49" fontId="3" fillId="3" borderId="45" xfId="0" applyNumberFormat="1" applyFont="1" applyFill="1" applyBorder="1" applyAlignment="1">
      <alignment horizontal="center" vertical="center" wrapText="1"/>
    </xf>
    <xf numFmtId="49" fontId="3" fillId="4" borderId="26" xfId="0" applyNumberFormat="1" applyFont="1" applyFill="1" applyBorder="1" applyAlignment="1">
      <alignment horizontal="center" vertical="center" wrapText="1"/>
    </xf>
    <xf numFmtId="49" fontId="3" fillId="4" borderId="45" xfId="0" applyNumberFormat="1" applyFont="1" applyFill="1" applyBorder="1" applyAlignment="1">
      <alignment horizontal="center" vertical="center" wrapText="1"/>
    </xf>
    <xf numFmtId="49" fontId="3" fillId="4" borderId="25" xfId="0" applyNumberFormat="1" applyFont="1" applyFill="1" applyBorder="1" applyAlignment="1">
      <alignment horizontal="center" vertical="center" wrapText="1"/>
    </xf>
    <xf numFmtId="0" fontId="59" fillId="0" borderId="8" xfId="0" applyFont="1" applyBorder="1" applyAlignment="1">
      <alignment horizontal="center" vertical="center" wrapText="1"/>
    </xf>
    <xf numFmtId="176" fontId="53" fillId="3" borderId="9" xfId="0" applyNumberFormat="1" applyFont="1" applyFill="1" applyBorder="1" applyAlignment="1">
      <alignment horizontal="center" vertical="center" wrapText="1"/>
    </xf>
    <xf numFmtId="176" fontId="53" fillId="3" borderId="36" xfId="0" applyNumberFormat="1" applyFont="1" applyFill="1" applyBorder="1" applyAlignment="1">
      <alignment horizontal="center" vertical="center" wrapText="1"/>
    </xf>
    <xf numFmtId="176" fontId="48" fillId="4" borderId="9" xfId="0" applyNumberFormat="1" applyFont="1" applyFill="1" applyBorder="1" applyAlignment="1">
      <alignment horizontal="center" vertical="center" wrapText="1"/>
    </xf>
    <xf numFmtId="176" fontId="48" fillId="4" borderId="36" xfId="0" applyNumberFormat="1" applyFont="1" applyFill="1" applyBorder="1" applyAlignment="1">
      <alignment horizontal="center" vertical="center" wrapText="1"/>
    </xf>
    <xf numFmtId="0" fontId="3" fillId="5" borderId="28" xfId="0" applyFont="1" applyFill="1" applyBorder="1" applyAlignment="1">
      <alignment horizontal="center" vertical="center" wrapText="1"/>
    </xf>
    <xf numFmtId="0" fontId="3" fillId="5" borderId="29"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82" fillId="0" borderId="15" xfId="0" applyFont="1" applyBorder="1" applyAlignment="1">
      <alignment horizontal="left" vertical="center" wrapText="1"/>
    </xf>
    <xf numFmtId="0" fontId="82" fillId="0" borderId="10" xfId="0" applyFont="1" applyBorder="1" applyAlignment="1">
      <alignment horizontal="left" vertical="center" wrapText="1"/>
    </xf>
    <xf numFmtId="0" fontId="78" fillId="0" borderId="36" xfId="0" applyFont="1" applyBorder="1" applyAlignment="1">
      <alignment horizontal="left" vertical="center" wrapText="1"/>
    </xf>
    <xf numFmtId="0" fontId="78" fillId="0" borderId="9" xfId="0" applyFont="1" applyBorder="1" applyAlignment="1">
      <alignment horizontal="center" vertical="center" wrapText="1"/>
    </xf>
    <xf numFmtId="0" fontId="78" fillId="0" borderId="15" xfId="0" applyFont="1" applyBorder="1" applyAlignment="1">
      <alignment horizontal="center" vertical="center" wrapText="1"/>
    </xf>
    <xf numFmtId="0" fontId="78" fillId="0" borderId="10" xfId="0" applyFont="1" applyBorder="1" applyAlignment="1">
      <alignment horizontal="center" vertical="center" wrapText="1"/>
    </xf>
    <xf numFmtId="0" fontId="78" fillId="0" borderId="6" xfId="0" applyFont="1" applyBorder="1" applyAlignment="1">
      <alignment horizontal="center" vertical="center" wrapText="1"/>
    </xf>
    <xf numFmtId="0" fontId="1" fillId="0" borderId="48" xfId="0" applyFont="1" applyBorder="1" applyAlignment="1">
      <alignment horizontal="center" vertical="center" wrapText="1"/>
    </xf>
    <xf numFmtId="0" fontId="78" fillId="0" borderId="41" xfId="0" applyFont="1" applyBorder="1" applyAlignment="1">
      <alignment horizontal="left" vertical="center" wrapText="1"/>
    </xf>
    <xf numFmtId="49" fontId="1" fillId="0" borderId="41" xfId="0" applyNumberFormat="1" applyFont="1" applyBorder="1" applyAlignment="1">
      <alignment horizontal="center" vertical="center" wrapText="1"/>
    </xf>
    <xf numFmtId="49" fontId="1" fillId="0" borderId="15" xfId="0" applyNumberFormat="1" applyFont="1" applyBorder="1" applyAlignment="1">
      <alignment horizontal="center" vertical="center" wrapText="1"/>
    </xf>
    <xf numFmtId="0" fontId="1" fillId="0" borderId="9"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6" xfId="0" applyFont="1" applyBorder="1" applyAlignment="1">
      <alignment horizontal="center" vertical="center" wrapText="1"/>
    </xf>
    <xf numFmtId="0" fontId="3" fillId="0" borderId="0" xfId="0" applyFont="1" applyAlignment="1">
      <alignment horizontal="center" vertical="center" wrapText="1"/>
    </xf>
    <xf numFmtId="0" fontId="78" fillId="0" borderId="41" xfId="0" applyFont="1" applyBorder="1" applyAlignment="1">
      <alignment horizontal="center" vertical="center" wrapText="1"/>
    </xf>
    <xf numFmtId="0" fontId="1" fillId="0" borderId="41" xfId="0" applyFont="1" applyBorder="1" applyAlignment="1">
      <alignment horizontal="center" vertical="center" wrapText="1"/>
    </xf>
    <xf numFmtId="0" fontId="1" fillId="12" borderId="6" xfId="0" applyFont="1" applyFill="1" applyBorder="1" applyAlignment="1">
      <alignment horizontal="center" vertical="center" wrapText="1"/>
    </xf>
    <xf numFmtId="0" fontId="1" fillId="12" borderId="9"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1" borderId="9"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1" fillId="11" borderId="10" xfId="0" applyFont="1" applyFill="1" applyBorder="1" applyAlignment="1">
      <alignment horizontal="center" vertical="center" wrapText="1"/>
    </xf>
    <xf numFmtId="0" fontId="1" fillId="0" borderId="36" xfId="0" applyFont="1" applyBorder="1" applyAlignment="1">
      <alignment horizontal="left" vertical="center" wrapText="1"/>
    </xf>
    <xf numFmtId="49" fontId="1" fillId="0" borderId="9" xfId="0" applyNumberFormat="1" applyFont="1" applyBorder="1" applyAlignment="1">
      <alignment horizontal="left" vertical="center" wrapText="1"/>
    </xf>
    <xf numFmtId="49" fontId="1" fillId="0" borderId="15" xfId="0" applyNumberFormat="1" applyFont="1" applyBorder="1" applyAlignment="1">
      <alignment horizontal="left" vertical="center" wrapText="1"/>
    </xf>
    <xf numFmtId="49" fontId="1" fillId="0" borderId="36" xfId="0" applyNumberFormat="1" applyFont="1" applyBorder="1" applyAlignment="1">
      <alignment horizontal="center" vertical="center" wrapText="1"/>
    </xf>
    <xf numFmtId="176" fontId="3" fillId="0" borderId="10" xfId="16" applyNumberFormat="1" applyFont="1" applyBorder="1" applyAlignment="1">
      <alignment horizontal="right" vertical="center" wrapText="1"/>
    </xf>
    <xf numFmtId="176" fontId="3" fillId="0" borderId="6" xfId="16" applyNumberFormat="1" applyFont="1" applyBorder="1" applyAlignment="1">
      <alignment horizontal="right" vertical="center" wrapText="1"/>
    </xf>
    <xf numFmtId="176" fontId="10" fillId="0" borderId="25" xfId="16" applyNumberFormat="1" applyFont="1" applyBorder="1" applyAlignment="1">
      <alignment horizontal="right" vertical="center" wrapText="1"/>
    </xf>
    <xf numFmtId="176" fontId="10" fillId="0" borderId="26" xfId="16" applyNumberFormat="1" applyFont="1" applyBorder="1" applyAlignment="1">
      <alignment horizontal="right" vertical="center" wrapText="1"/>
    </xf>
    <xf numFmtId="176" fontId="10" fillId="0" borderId="45" xfId="16" applyNumberFormat="1" applyFont="1" applyBorder="1" applyAlignment="1">
      <alignment horizontal="right" vertical="center" wrapText="1"/>
    </xf>
    <xf numFmtId="176" fontId="3" fillId="0" borderId="9" xfId="16" applyNumberFormat="1" applyFont="1" applyBorder="1" applyAlignment="1">
      <alignment horizontal="right" vertical="center" wrapText="1"/>
    </xf>
    <xf numFmtId="176" fontId="3" fillId="0" borderId="15" xfId="16" applyNumberFormat="1" applyFont="1" applyBorder="1" applyAlignment="1">
      <alignment horizontal="right" vertical="center" wrapText="1"/>
    </xf>
    <xf numFmtId="176" fontId="10" fillId="0" borderId="18" xfId="16" applyNumberFormat="1" applyFont="1" applyBorder="1" applyAlignment="1">
      <alignment horizontal="center" vertical="center" wrapText="1"/>
    </xf>
    <xf numFmtId="176" fontId="10" fillId="0" borderId="19" xfId="16" applyNumberFormat="1" applyFont="1" applyBorder="1" applyAlignment="1">
      <alignment horizontal="center" vertical="center" wrapText="1"/>
    </xf>
    <xf numFmtId="176" fontId="10" fillId="0" borderId="49" xfId="16" applyNumberFormat="1" applyFont="1" applyBorder="1" applyAlignment="1">
      <alignment horizontal="right" vertical="center" wrapText="1"/>
    </xf>
    <xf numFmtId="176" fontId="3" fillId="0" borderId="49" xfId="0" applyNumberFormat="1" applyFont="1" applyBorder="1" applyAlignment="1">
      <alignment horizontal="right" vertical="center" wrapText="1"/>
    </xf>
    <xf numFmtId="176" fontId="3" fillId="0" borderId="52" xfId="0" applyNumberFormat="1" applyFont="1" applyBorder="1" applyAlignment="1">
      <alignment horizontal="center" vertical="center" wrapText="1"/>
    </xf>
    <xf numFmtId="176" fontId="23" fillId="0" borderId="15" xfId="0" applyNumberFormat="1" applyFont="1" applyBorder="1" applyAlignment="1">
      <alignment horizontal="right" vertical="center" wrapText="1"/>
    </xf>
    <xf numFmtId="176" fontId="3" fillId="7" borderId="9" xfId="0" applyNumberFormat="1" applyFont="1" applyFill="1" applyBorder="1" applyAlignment="1">
      <alignment horizontal="right" vertical="center" wrapText="1"/>
    </xf>
    <xf numFmtId="176" fontId="3" fillId="7" borderId="15" xfId="0" applyNumberFormat="1" applyFont="1" applyFill="1" applyBorder="1" applyAlignment="1">
      <alignment horizontal="right" vertical="center" wrapText="1"/>
    </xf>
    <xf numFmtId="176" fontId="3" fillId="0" borderId="18" xfId="0" applyNumberFormat="1" applyFont="1" applyBorder="1" applyAlignment="1">
      <alignment horizontal="center" vertical="center" wrapText="1"/>
    </xf>
    <xf numFmtId="176" fontId="3" fillId="0" borderId="19" xfId="0" applyNumberFormat="1" applyFont="1" applyBorder="1" applyAlignment="1">
      <alignment horizontal="center" vertical="center" wrapText="1"/>
    </xf>
    <xf numFmtId="176" fontId="3" fillId="0" borderId="41" xfId="0" applyNumberFormat="1" applyFont="1" applyBorder="1" applyAlignment="1">
      <alignment horizontal="right" vertical="center" wrapText="1"/>
    </xf>
    <xf numFmtId="176" fontId="3" fillId="0" borderId="9" xfId="0" applyNumberFormat="1" applyFont="1" applyBorder="1" applyAlignment="1">
      <alignment vertical="center" wrapText="1"/>
    </xf>
    <xf numFmtId="176" fontId="3" fillId="0" borderId="10" xfId="0" applyNumberFormat="1" applyFont="1" applyBorder="1" applyAlignment="1">
      <alignment vertical="center" wrapText="1"/>
    </xf>
    <xf numFmtId="176" fontId="3" fillId="0" borderId="15" xfId="0" applyNumberFormat="1" applyFont="1" applyBorder="1" applyAlignment="1">
      <alignment vertical="center" wrapText="1"/>
    </xf>
    <xf numFmtId="176" fontId="46" fillId="4" borderId="6" xfId="0" applyNumberFormat="1" applyFont="1" applyFill="1" applyBorder="1" applyAlignment="1">
      <alignment horizontal="center" vertical="center" wrapText="1"/>
    </xf>
    <xf numFmtId="176" fontId="46" fillId="4" borderId="8" xfId="0" applyNumberFormat="1" applyFont="1" applyFill="1" applyBorder="1" applyAlignment="1">
      <alignment horizontal="center" vertical="center" wrapText="1"/>
    </xf>
    <xf numFmtId="176" fontId="47" fillId="0" borderId="41" xfId="0" applyNumberFormat="1" applyFont="1" applyBorder="1" applyAlignment="1">
      <alignment horizontal="right" vertical="center" wrapText="1"/>
    </xf>
    <xf numFmtId="176" fontId="47" fillId="0" borderId="10" xfId="0" applyNumberFormat="1" applyFont="1" applyBorder="1" applyAlignment="1">
      <alignment horizontal="right" vertical="center" wrapText="1"/>
    </xf>
    <xf numFmtId="176" fontId="47" fillId="0" borderId="9" xfId="0" applyNumberFormat="1" applyFont="1" applyBorder="1" applyAlignment="1">
      <alignment horizontal="right" vertical="center" wrapText="1"/>
    </xf>
    <xf numFmtId="176" fontId="47" fillId="0" borderId="15" xfId="0" applyNumberFormat="1" applyFont="1" applyBorder="1" applyAlignment="1">
      <alignment horizontal="right" vertical="center" wrapText="1"/>
    </xf>
    <xf numFmtId="176" fontId="47" fillId="0" borderId="9" xfId="0" applyNumberFormat="1" applyFont="1" applyBorder="1" applyAlignment="1">
      <alignment vertical="center" wrapText="1"/>
    </xf>
    <xf numFmtId="176" fontId="47" fillId="0" borderId="15" xfId="0" applyNumberFormat="1" applyFont="1" applyBorder="1" applyAlignment="1">
      <alignment vertical="center" wrapText="1"/>
    </xf>
    <xf numFmtId="176" fontId="47" fillId="0" borderId="10" xfId="0" applyNumberFormat="1" applyFont="1" applyBorder="1" applyAlignment="1">
      <alignment vertical="center" wrapText="1"/>
    </xf>
    <xf numFmtId="176" fontId="3" fillId="6" borderId="9" xfId="0" applyNumberFormat="1" applyFont="1" applyFill="1" applyBorder="1" applyAlignment="1">
      <alignment horizontal="right" vertical="center" wrapText="1"/>
    </xf>
    <xf numFmtId="176" fontId="3" fillId="6" borderId="10" xfId="0" applyNumberFormat="1" applyFont="1" applyFill="1" applyBorder="1" applyAlignment="1">
      <alignment horizontal="right" vertical="center" wrapText="1"/>
    </xf>
    <xf numFmtId="49" fontId="6" fillId="0" borderId="9" xfId="0" applyNumberFormat="1" applyFont="1" applyBorder="1" applyAlignment="1">
      <alignment horizontal="left" vertical="center" wrapText="1"/>
    </xf>
    <xf numFmtId="49" fontId="6" fillId="0" borderId="15" xfId="0" applyNumberFormat="1" applyFont="1" applyBorder="1" applyAlignment="1">
      <alignment horizontal="left" vertical="center" wrapText="1"/>
    </xf>
    <xf numFmtId="49" fontId="6" fillId="0" borderId="10" xfId="0" applyNumberFormat="1" applyFont="1" applyBorder="1" applyAlignment="1">
      <alignment horizontal="left" vertical="center" wrapText="1"/>
    </xf>
    <xf numFmtId="176" fontId="49" fillId="0" borderId="6" xfId="0" applyNumberFormat="1" applyFont="1" applyBorder="1" applyAlignment="1">
      <alignment horizontal="right" vertical="center" wrapText="1"/>
    </xf>
    <xf numFmtId="176" fontId="49" fillId="0" borderId="9" xfId="0" applyNumberFormat="1" applyFont="1" applyBorder="1" applyAlignment="1">
      <alignment horizontal="right" vertical="center" wrapText="1"/>
    </xf>
    <xf numFmtId="176" fontId="49" fillId="0" borderId="15" xfId="0" applyNumberFormat="1" applyFont="1" applyBorder="1" applyAlignment="1">
      <alignment horizontal="right" vertical="center" wrapText="1"/>
    </xf>
    <xf numFmtId="176" fontId="49" fillId="0" borderId="10" xfId="0" applyNumberFormat="1" applyFont="1" applyBorder="1" applyAlignment="1">
      <alignment horizontal="right" vertical="center" wrapText="1"/>
    </xf>
    <xf numFmtId="0" fontId="1" fillId="0" borderId="32" xfId="0" applyFont="1" applyBorder="1" applyAlignment="1">
      <alignment horizontal="left" vertical="center" wrapText="1"/>
    </xf>
    <xf numFmtId="0" fontId="1" fillId="0" borderId="32" xfId="0" applyFont="1" applyBorder="1" applyAlignment="1">
      <alignment vertical="center" wrapText="1"/>
    </xf>
    <xf numFmtId="0" fontId="1" fillId="0" borderId="33" xfId="0" applyFont="1" applyBorder="1" applyAlignment="1">
      <alignment horizontal="left" vertical="center" wrapText="1"/>
    </xf>
    <xf numFmtId="0" fontId="1" fillId="0" borderId="29" xfId="0" applyFont="1" applyBorder="1" applyAlignment="1">
      <alignment horizontal="left" vertical="center" wrapText="1"/>
    </xf>
    <xf numFmtId="0" fontId="1" fillId="0" borderId="34" xfId="0" applyFont="1" applyBorder="1" applyAlignment="1">
      <alignment horizontal="left" vertical="center" wrapText="1"/>
    </xf>
    <xf numFmtId="0" fontId="1" fillId="0" borderId="33" xfId="0" applyFont="1" applyBorder="1" applyAlignment="1">
      <alignment vertical="center" wrapText="1"/>
    </xf>
    <xf numFmtId="0" fontId="1" fillId="0" borderId="34" xfId="0" applyFont="1" applyBorder="1" applyAlignment="1">
      <alignment vertical="center" wrapText="1"/>
    </xf>
    <xf numFmtId="176" fontId="52" fillId="0" borderId="41" xfId="0" applyNumberFormat="1" applyFont="1" applyBorder="1" applyAlignment="1">
      <alignment horizontal="right" vertical="center" wrapText="1"/>
    </xf>
    <xf numFmtId="0" fontId="3" fillId="0" borderId="31" xfId="0" applyFont="1" applyBorder="1" applyAlignment="1">
      <alignment horizontal="left" vertical="center" wrapText="1"/>
    </xf>
    <xf numFmtId="0" fontId="3" fillId="0" borderId="32" xfId="0" applyFont="1" applyBorder="1" applyAlignment="1">
      <alignment horizontal="left" vertical="center" wrapText="1"/>
    </xf>
    <xf numFmtId="0" fontId="21" fillId="0" borderId="32" xfId="0" applyFont="1" applyBorder="1" applyAlignment="1">
      <alignment horizontal="left" vertical="center" wrapText="1"/>
    </xf>
    <xf numFmtId="0" fontId="1" fillId="0" borderId="32" xfId="0" applyFont="1" applyBorder="1" applyAlignment="1">
      <alignment horizontal="left" vertical="top" wrapText="1"/>
    </xf>
    <xf numFmtId="0" fontId="3" fillId="0" borderId="33" xfId="0" applyFont="1" applyBorder="1" applyAlignment="1">
      <alignment horizontal="left" vertical="center" wrapText="1"/>
    </xf>
    <xf numFmtId="0" fontId="3" fillId="0" borderId="34" xfId="0" applyFont="1" applyBorder="1" applyAlignment="1">
      <alignment horizontal="left" vertical="center" wrapText="1"/>
    </xf>
    <xf numFmtId="176" fontId="10" fillId="0" borderId="43" xfId="16" applyNumberFormat="1" applyFont="1" applyBorder="1" applyAlignment="1">
      <alignment horizontal="center" vertical="center" wrapText="1"/>
    </xf>
    <xf numFmtId="176" fontId="3" fillId="0" borderId="43" xfId="0" applyNumberFormat="1" applyFont="1" applyBorder="1" applyAlignment="1">
      <alignment horizontal="center" vertical="center" wrapText="1"/>
    </xf>
    <xf numFmtId="0" fontId="1" fillId="0" borderId="41" xfId="0" applyFont="1" applyBorder="1" applyAlignment="1">
      <alignment horizontal="left" vertical="center" wrapText="1"/>
    </xf>
    <xf numFmtId="176" fontId="10" fillId="0" borderId="52" xfId="16" applyNumberFormat="1" applyFont="1" applyBorder="1" applyAlignment="1">
      <alignment horizontal="right" vertical="center" wrapText="1"/>
    </xf>
    <xf numFmtId="176" fontId="3" fillId="0" borderId="9" xfId="0" applyNumberFormat="1" applyFont="1" applyBorder="1" applyAlignment="1">
      <alignment horizontal="center" vertical="center" wrapText="1"/>
    </xf>
    <xf numFmtId="176" fontId="3" fillId="0" borderId="10" xfId="0" applyNumberFormat="1" applyFont="1" applyBorder="1" applyAlignment="1">
      <alignment horizontal="center" vertical="center" wrapText="1"/>
    </xf>
    <xf numFmtId="0" fontId="79" fillId="0" borderId="10" xfId="0" applyFont="1" applyBorder="1" applyAlignment="1">
      <alignment horizontal="left" vertical="center" wrapText="1"/>
    </xf>
    <xf numFmtId="0" fontId="79" fillId="0" borderId="6" xfId="0" applyFont="1" applyBorder="1" applyAlignment="1">
      <alignment horizontal="left" vertical="center" wrapText="1"/>
    </xf>
    <xf numFmtId="0" fontId="80" fillId="0" borderId="9" xfId="0" applyFont="1" applyBorder="1" applyAlignment="1">
      <alignment horizontal="left" vertical="center" wrapText="1"/>
    </xf>
    <xf numFmtId="0" fontId="80" fillId="0" borderId="15" xfId="0" applyFont="1" applyBorder="1" applyAlignment="1">
      <alignment horizontal="left" vertical="center" wrapText="1"/>
    </xf>
    <xf numFmtId="176" fontId="3" fillId="2" borderId="9" xfId="0" applyNumberFormat="1" applyFont="1" applyFill="1" applyBorder="1" applyAlignment="1">
      <alignment horizontal="center" vertical="center" wrapText="1"/>
    </xf>
    <xf numFmtId="176" fontId="40" fillId="3" borderId="9" xfId="0" applyNumberFormat="1" applyFont="1" applyFill="1" applyBorder="1" applyAlignment="1">
      <alignment horizontal="center" vertical="center" wrapText="1"/>
    </xf>
    <xf numFmtId="176" fontId="40" fillId="3" borderId="36" xfId="0" applyNumberFormat="1" applyFont="1" applyFill="1" applyBorder="1" applyAlignment="1">
      <alignment horizontal="center" vertical="center" wrapText="1"/>
    </xf>
    <xf numFmtId="0" fontId="78" fillId="9" borderId="9" xfId="0" applyFont="1" applyFill="1" applyBorder="1" applyAlignment="1">
      <alignment horizontal="left" vertical="center" wrapText="1"/>
    </xf>
    <xf numFmtId="0" fontId="78" fillId="9" borderId="15" xfId="0" applyFont="1" applyFill="1" applyBorder="1" applyAlignment="1">
      <alignment horizontal="left" vertical="center" wrapText="1"/>
    </xf>
    <xf numFmtId="0" fontId="78" fillId="9" borderId="10" xfId="0" applyFont="1" applyFill="1" applyBorder="1" applyAlignment="1">
      <alignment horizontal="left" vertical="center" wrapText="1"/>
    </xf>
    <xf numFmtId="0" fontId="9" fillId="0" borderId="42" xfId="0" applyFont="1" applyBorder="1" applyAlignment="1">
      <alignment horizontal="center" vertical="center" wrapText="1"/>
    </xf>
    <xf numFmtId="0" fontId="9" fillId="0" borderId="37" xfId="0" applyFont="1" applyBorder="1" applyAlignment="1">
      <alignment horizontal="center" vertical="center" wrapText="1"/>
    </xf>
    <xf numFmtId="0" fontId="80" fillId="0" borderId="10" xfId="0" applyFont="1" applyBorder="1" applyAlignment="1">
      <alignment horizontal="left" vertical="center" wrapText="1"/>
    </xf>
    <xf numFmtId="0" fontId="79" fillId="0" borderId="9" xfId="0" applyFont="1" applyBorder="1" applyAlignment="1">
      <alignment horizontal="left" vertical="center" wrapText="1"/>
    </xf>
    <xf numFmtId="0" fontId="1" fillId="7" borderId="9" xfId="0" applyFont="1" applyFill="1" applyBorder="1" applyAlignment="1">
      <alignment horizontal="center" vertical="center" wrapText="1"/>
    </xf>
    <xf numFmtId="0" fontId="1" fillId="7" borderId="10" xfId="0" applyFont="1" applyFill="1" applyBorder="1" applyAlignment="1">
      <alignment horizontal="center" vertical="center" wrapText="1"/>
    </xf>
    <xf numFmtId="49" fontId="1" fillId="0" borderId="10"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176" fontId="3" fillId="0" borderId="36" xfId="16" applyNumberFormat="1" applyFont="1" applyBorder="1" applyAlignment="1">
      <alignment horizontal="right" vertical="center" wrapText="1"/>
    </xf>
    <xf numFmtId="176" fontId="3" fillId="0" borderId="9" xfId="16" applyNumberFormat="1" applyFont="1" applyBorder="1" applyAlignment="1">
      <alignment vertical="center" wrapText="1"/>
    </xf>
    <xf numFmtId="176" fontId="3" fillId="0" borderId="10" xfId="16" applyNumberFormat="1" applyFont="1" applyBorder="1" applyAlignment="1">
      <alignment vertical="center" wrapText="1"/>
    </xf>
    <xf numFmtId="176" fontId="10" fillId="0" borderId="44" xfId="16" applyNumberFormat="1" applyFont="1" applyBorder="1" applyAlignment="1">
      <alignment horizontal="right" vertical="center" wrapText="1"/>
    </xf>
    <xf numFmtId="176" fontId="10" fillId="0" borderId="36" xfId="16" applyNumberFormat="1" applyFont="1" applyBorder="1" applyAlignment="1">
      <alignment horizontal="right" vertical="center" wrapText="1"/>
    </xf>
    <xf numFmtId="176" fontId="3" fillId="0" borderId="2" xfId="0" applyNumberFormat="1" applyFont="1" applyBorder="1" applyAlignment="1">
      <alignment horizontal="right" vertical="center" wrapText="1"/>
    </xf>
    <xf numFmtId="176" fontId="41" fillId="0" borderId="2" xfId="0" applyNumberFormat="1" applyFont="1" applyBorder="1" applyAlignment="1">
      <alignment horizontal="right" vertical="center" wrapText="1"/>
    </xf>
    <xf numFmtId="176" fontId="46" fillId="4" borderId="9" xfId="0" applyNumberFormat="1" applyFont="1" applyFill="1" applyBorder="1" applyAlignment="1">
      <alignment horizontal="center" vertical="center" wrapText="1"/>
    </xf>
    <xf numFmtId="176" fontId="47" fillId="0" borderId="2" xfId="0" applyNumberFormat="1" applyFont="1" applyBorder="1" applyAlignment="1">
      <alignment horizontal="right" vertical="center" wrapText="1"/>
    </xf>
    <xf numFmtId="176" fontId="47" fillId="0" borderId="6" xfId="0" applyNumberFormat="1" applyFont="1" applyBorder="1" applyAlignment="1">
      <alignment horizontal="right" vertical="center" wrapText="1"/>
    </xf>
    <xf numFmtId="176" fontId="48" fillId="4" borderId="15" xfId="0" applyNumberFormat="1" applyFont="1" applyFill="1" applyBorder="1" applyAlignment="1">
      <alignment horizontal="center" vertical="center" wrapText="1"/>
    </xf>
    <xf numFmtId="176" fontId="49" fillId="0" borderId="2" xfId="0" applyNumberFormat="1" applyFont="1" applyBorder="1" applyAlignment="1">
      <alignment horizontal="right" vertical="center" wrapText="1"/>
    </xf>
    <xf numFmtId="0" fontId="3" fillId="0" borderId="29" xfId="0" applyFont="1" applyBorder="1" applyAlignment="1">
      <alignment horizontal="left" vertical="center" wrapText="1"/>
    </xf>
    <xf numFmtId="0" fontId="3" fillId="0" borderId="33" xfId="0" applyFont="1" applyBorder="1" applyAlignment="1">
      <alignment vertical="center" wrapText="1"/>
    </xf>
    <xf numFmtId="0" fontId="3" fillId="0" borderId="29" xfId="0" applyFont="1" applyBorder="1" applyAlignment="1">
      <alignment vertical="center" wrapText="1"/>
    </xf>
    <xf numFmtId="0" fontId="3" fillId="0" borderId="30" xfId="0" applyFont="1" applyBorder="1" applyAlignment="1">
      <alignment vertical="center" wrapText="1"/>
    </xf>
    <xf numFmtId="0" fontId="3" fillId="0" borderId="34" xfId="0" applyFont="1" applyBorder="1" applyAlignment="1">
      <alignment vertical="center" wrapText="1"/>
    </xf>
    <xf numFmtId="176" fontId="49" fillId="0" borderId="9" xfId="0" applyNumberFormat="1" applyFont="1" applyBorder="1" applyAlignment="1">
      <alignment vertical="center" wrapText="1"/>
    </xf>
    <xf numFmtId="176" fontId="49" fillId="0" borderId="15" xfId="0" applyNumberFormat="1" applyFont="1" applyBorder="1" applyAlignment="1">
      <alignment vertical="center" wrapText="1"/>
    </xf>
    <xf numFmtId="176" fontId="3" fillId="0" borderId="6" xfId="16" applyNumberFormat="1" applyFont="1" applyBorder="1" applyAlignment="1">
      <alignment vertical="center" wrapText="1"/>
    </xf>
    <xf numFmtId="176" fontId="10" fillId="0" borderId="9" xfId="16" applyNumberFormat="1" applyFont="1" applyBorder="1" applyAlignment="1">
      <alignment vertical="center" wrapText="1"/>
    </xf>
    <xf numFmtId="176" fontId="10" fillId="0" borderId="15" xfId="16" applyNumberFormat="1" applyFont="1" applyBorder="1" applyAlignment="1">
      <alignment vertical="center" wrapText="1"/>
    </xf>
    <xf numFmtId="176" fontId="10" fillId="0" borderId="10" xfId="16" applyNumberFormat="1" applyFont="1" applyBorder="1" applyAlignment="1">
      <alignment vertical="center" wrapText="1"/>
    </xf>
    <xf numFmtId="176" fontId="10" fillId="0" borderId="11" xfId="16" applyNumberFormat="1" applyFont="1" applyBorder="1" applyAlignment="1">
      <alignment horizontal="right" vertical="center" wrapText="1"/>
    </xf>
    <xf numFmtId="176" fontId="3" fillId="0" borderId="11" xfId="0" applyNumberFormat="1" applyFont="1" applyBorder="1" applyAlignment="1">
      <alignment horizontal="right" vertical="center" wrapText="1"/>
    </xf>
    <xf numFmtId="176" fontId="11" fillId="3" borderId="20" xfId="0" applyNumberFormat="1" applyFont="1" applyFill="1" applyBorder="1" applyAlignment="1">
      <alignment horizontal="center" vertical="center" wrapText="1"/>
    </xf>
    <xf numFmtId="176" fontId="11" fillId="3" borderId="21" xfId="0" applyNumberFormat="1" applyFont="1" applyFill="1" applyBorder="1" applyAlignment="1">
      <alignment horizontal="center" vertical="center" wrapText="1"/>
    </xf>
    <xf numFmtId="176" fontId="11" fillId="3" borderId="22" xfId="0" applyNumberFormat="1" applyFont="1" applyFill="1" applyBorder="1" applyAlignment="1">
      <alignment horizontal="center" vertical="center" wrapText="1"/>
    </xf>
    <xf numFmtId="49" fontId="3" fillId="4" borderId="20" xfId="0" applyNumberFormat="1" applyFont="1" applyFill="1" applyBorder="1" applyAlignment="1">
      <alignment horizontal="center" vertical="center" wrapText="1"/>
    </xf>
    <xf numFmtId="49" fontId="3" fillId="4" borderId="21" xfId="0" applyNumberFormat="1" applyFont="1" applyFill="1" applyBorder="1" applyAlignment="1">
      <alignment horizontal="center" vertical="center" wrapText="1"/>
    </xf>
    <xf numFmtId="49" fontId="3" fillId="4" borderId="22" xfId="0" applyNumberFormat="1" applyFont="1" applyFill="1" applyBorder="1" applyAlignment="1">
      <alignment horizontal="center" vertical="center" wrapText="1"/>
    </xf>
    <xf numFmtId="0" fontId="3" fillId="0" borderId="63" xfId="0" applyFont="1" applyBorder="1" applyAlignment="1">
      <alignment horizontal="center" vertical="center" wrapText="1"/>
    </xf>
    <xf numFmtId="0" fontId="9" fillId="0" borderId="24" xfId="0" applyFont="1" applyBorder="1" applyAlignment="1">
      <alignment horizontal="right" vertical="center" wrapText="1"/>
    </xf>
    <xf numFmtId="0" fontId="1" fillId="0" borderId="1" xfId="0" applyFont="1" applyBorder="1" applyAlignment="1">
      <alignment horizontal="center" vertical="center" wrapText="1"/>
    </xf>
    <xf numFmtId="0" fontId="78" fillId="0" borderId="2" xfId="0" applyFont="1" applyBorder="1" applyAlignment="1">
      <alignment horizontal="left" vertical="center" wrapText="1"/>
    </xf>
    <xf numFmtId="0" fontId="78" fillId="8" borderId="6" xfId="0" applyFont="1" applyFill="1" applyBorder="1" applyAlignment="1">
      <alignment horizontal="left" vertical="center" wrapText="1"/>
    </xf>
    <xf numFmtId="0" fontId="78" fillId="0" borderId="2" xfId="0" applyFont="1" applyBorder="1" applyAlignment="1">
      <alignment horizontal="center" vertical="center" wrapText="1"/>
    </xf>
    <xf numFmtId="178" fontId="78" fillId="0" borderId="6" xfId="0" applyNumberFormat="1" applyFont="1" applyBorder="1" applyAlignment="1">
      <alignment horizontal="center" vertical="center" wrapText="1"/>
    </xf>
    <xf numFmtId="0" fontId="80" fillId="0" borderId="6" xfId="0" applyFont="1" applyBorder="1" applyAlignment="1">
      <alignment horizontal="left" vertical="center" wrapText="1"/>
    </xf>
    <xf numFmtId="0" fontId="80" fillId="9" borderId="6" xfId="0" applyFont="1" applyFill="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11" xfId="0" applyFont="1" applyBorder="1" applyAlignment="1">
      <alignment horizontal="center" vertical="center" wrapText="1"/>
    </xf>
    <xf numFmtId="49" fontId="1" fillId="0" borderId="11" xfId="0" applyNumberFormat="1" applyFont="1" applyBorder="1" applyAlignment="1">
      <alignment horizontal="center" vertical="center" wrapText="1"/>
    </xf>
    <xf numFmtId="176" fontId="3" fillId="0" borderId="2" xfId="16" applyNumberFormat="1" applyFont="1" applyBorder="1" applyAlignment="1">
      <alignment vertical="center" wrapText="1"/>
    </xf>
    <xf numFmtId="176" fontId="3" fillId="0" borderId="15" xfId="16" applyNumberFormat="1" applyFont="1" applyBorder="1" applyAlignment="1">
      <alignment vertical="center" wrapText="1"/>
    </xf>
    <xf numFmtId="176" fontId="10" fillId="0" borderId="17" xfId="16" applyNumberFormat="1" applyFont="1" applyBorder="1" applyAlignment="1">
      <alignment horizontal="right" vertical="center" wrapText="1"/>
    </xf>
    <xf numFmtId="176" fontId="10" fillId="0" borderId="2" xfId="16" applyNumberFormat="1" applyFont="1" applyBorder="1" applyAlignment="1">
      <alignment horizontal="right" vertical="center" wrapText="1"/>
    </xf>
    <xf numFmtId="176" fontId="3" fillId="0" borderId="46" xfId="0" applyNumberFormat="1" applyFont="1" applyBorder="1" applyAlignment="1">
      <alignment horizontal="right" vertical="center" wrapText="1"/>
    </xf>
    <xf numFmtId="176" fontId="49" fillId="0" borderId="10" xfId="0" applyNumberFormat="1" applyFont="1" applyBorder="1" applyAlignment="1">
      <alignment vertical="center" wrapText="1"/>
    </xf>
    <xf numFmtId="176" fontId="3" fillId="0" borderId="18" xfId="16" applyNumberFormat="1" applyFont="1" applyBorder="1" applyAlignment="1">
      <alignment vertical="center" wrapText="1"/>
    </xf>
    <xf numFmtId="176" fontId="3" fillId="0" borderId="19" xfId="16" applyNumberFormat="1" applyFont="1" applyBorder="1" applyAlignment="1">
      <alignment vertical="center" wrapText="1"/>
    </xf>
    <xf numFmtId="0" fontId="78" fillId="16" borderId="6" xfId="0" applyFont="1" applyFill="1" applyBorder="1" applyAlignment="1">
      <alignment horizontal="left" vertical="center" wrapText="1"/>
    </xf>
    <xf numFmtId="0" fontId="79" fillId="7" borderId="6" xfId="0" applyFont="1" applyFill="1" applyBorder="1" applyAlignment="1">
      <alignment horizontal="left" vertical="center" wrapText="1"/>
    </xf>
    <xf numFmtId="0" fontId="9"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1" fillId="14" borderId="6" xfId="0" applyFont="1" applyFill="1" applyBorder="1" applyAlignment="1">
      <alignment horizontal="center" vertical="center" wrapText="1"/>
    </xf>
    <xf numFmtId="0" fontId="83" fillId="0" borderId="9" xfId="0" applyFont="1" applyBorder="1" applyAlignment="1">
      <alignment horizontal="left" vertical="center" wrapText="1"/>
    </xf>
    <xf numFmtId="0" fontId="83" fillId="0" borderId="10" xfId="0" applyFont="1" applyBorder="1" applyAlignment="1">
      <alignment horizontal="left" vertical="center" wrapText="1"/>
    </xf>
    <xf numFmtId="0" fontId="1" fillId="0" borderId="9" xfId="0" applyFont="1" applyBorder="1" applyAlignment="1">
      <alignment vertical="center" wrapText="1"/>
    </xf>
    <xf numFmtId="0" fontId="1" fillId="0" borderId="10" xfId="0" applyFont="1" applyBorder="1" applyAlignment="1">
      <alignment vertical="center" wrapText="1"/>
    </xf>
    <xf numFmtId="0" fontId="63" fillId="0" borderId="33" xfId="0" applyFont="1" applyBorder="1" applyAlignment="1">
      <alignment horizontal="left" vertical="center" wrapText="1"/>
    </xf>
    <xf numFmtId="0" fontId="63" fillId="0" borderId="29" xfId="0" applyFont="1" applyBorder="1" applyAlignment="1">
      <alignment horizontal="left" vertical="center" wrapText="1"/>
    </xf>
    <xf numFmtId="0" fontId="63" fillId="0" borderId="34" xfId="0" applyFont="1" applyBorder="1" applyAlignment="1">
      <alignment horizontal="left" vertical="center" wrapText="1"/>
    </xf>
    <xf numFmtId="0" fontId="62" fillId="0" borderId="80" xfId="0" applyFont="1" applyBorder="1" applyAlignment="1">
      <alignment horizontal="center" vertical="center" wrapText="1"/>
    </xf>
    <xf numFmtId="0" fontId="62" fillId="0" borderId="81" xfId="0" applyFont="1" applyBorder="1" applyAlignment="1">
      <alignment horizontal="center" vertical="center" wrapText="1"/>
    </xf>
    <xf numFmtId="0" fontId="62" fillId="0" borderId="82" xfId="0" applyFont="1" applyBorder="1" applyAlignment="1">
      <alignment horizontal="center" vertical="center" wrapText="1"/>
    </xf>
    <xf numFmtId="0" fontId="62" fillId="0" borderId="83" xfId="0" applyFont="1" applyBorder="1" applyAlignment="1">
      <alignment horizontal="center" vertical="center" wrapText="1"/>
    </xf>
    <xf numFmtId="0" fontId="62" fillId="0" borderId="84" xfId="0" applyFont="1" applyBorder="1" applyAlignment="1">
      <alignment horizontal="center" vertical="center" wrapText="1"/>
    </xf>
    <xf numFmtId="0" fontId="62" fillId="0" borderId="85" xfId="0" applyFont="1" applyBorder="1" applyAlignment="1">
      <alignment horizontal="center" vertical="center" wrapText="1"/>
    </xf>
    <xf numFmtId="176" fontId="62" fillId="0" borderId="9" xfId="0" applyNumberFormat="1" applyFont="1" applyBorder="1" applyAlignment="1">
      <alignment horizontal="right" vertical="center" wrapText="1"/>
    </xf>
    <xf numFmtId="176" fontId="62" fillId="0" borderId="15" xfId="0" applyNumberFormat="1" applyFont="1" applyBorder="1" applyAlignment="1">
      <alignment horizontal="right" vertical="center" wrapText="1"/>
    </xf>
    <xf numFmtId="176" fontId="62" fillId="0" borderId="10" xfId="0" applyNumberFormat="1" applyFont="1" applyBorder="1" applyAlignment="1">
      <alignment horizontal="right" vertical="center" wrapText="1"/>
    </xf>
    <xf numFmtId="176" fontId="70" fillId="0" borderId="9" xfId="0" applyNumberFormat="1" applyFont="1" applyBorder="1" applyAlignment="1">
      <alignment horizontal="right" vertical="center" wrapText="1"/>
    </xf>
    <xf numFmtId="176" fontId="70" fillId="0" borderId="15" xfId="0" applyNumberFormat="1" applyFont="1" applyBorder="1" applyAlignment="1">
      <alignment horizontal="right" vertical="center" wrapText="1"/>
    </xf>
    <xf numFmtId="176" fontId="70" fillId="0" borderId="10" xfId="0" applyNumberFormat="1" applyFont="1" applyBorder="1" applyAlignment="1">
      <alignment horizontal="right" vertical="center" wrapText="1"/>
    </xf>
    <xf numFmtId="176" fontId="76" fillId="0" borderId="9" xfId="0" applyNumberFormat="1" applyFont="1" applyBorder="1" applyAlignment="1">
      <alignment horizontal="right" vertical="center" wrapText="1"/>
    </xf>
    <xf numFmtId="176" fontId="76" fillId="0" borderId="15" xfId="0" applyNumberFormat="1" applyFont="1" applyBorder="1" applyAlignment="1">
      <alignment horizontal="right" vertical="center" wrapText="1"/>
    </xf>
    <xf numFmtId="176" fontId="76" fillId="0" borderId="10" xfId="0" applyNumberFormat="1" applyFont="1" applyBorder="1" applyAlignment="1">
      <alignment horizontal="right" vertical="center" wrapText="1"/>
    </xf>
    <xf numFmtId="176" fontId="77" fillId="0" borderId="9" xfId="0" applyNumberFormat="1" applyFont="1" applyBorder="1" applyAlignment="1">
      <alignment horizontal="right" vertical="center" wrapText="1"/>
    </xf>
    <xf numFmtId="176" fontId="77" fillId="0" borderId="15" xfId="0" applyNumberFormat="1" applyFont="1" applyBorder="1" applyAlignment="1">
      <alignment horizontal="right" vertical="center" wrapText="1"/>
    </xf>
    <xf numFmtId="176" fontId="77" fillId="0" borderId="10" xfId="0" applyNumberFormat="1" applyFont="1" applyBorder="1" applyAlignment="1">
      <alignment horizontal="right" vertical="center" wrapText="1"/>
    </xf>
    <xf numFmtId="176" fontId="75" fillId="0" borderId="9" xfId="16" applyNumberFormat="1" applyFont="1" applyBorder="1" applyAlignment="1">
      <alignment horizontal="right" vertical="center" wrapText="1"/>
    </xf>
    <xf numFmtId="176" fontId="75" fillId="0" borderId="15" xfId="16" applyNumberFormat="1" applyFont="1" applyBorder="1" applyAlignment="1">
      <alignment horizontal="right" vertical="center" wrapText="1"/>
    </xf>
    <xf numFmtId="176" fontId="75" fillId="0" borderId="10" xfId="16" applyNumberFormat="1" applyFont="1" applyBorder="1" applyAlignment="1">
      <alignment horizontal="right" vertical="center" wrapText="1"/>
    </xf>
    <xf numFmtId="176" fontId="75" fillId="0" borderId="18" xfId="16" applyNumberFormat="1" applyFont="1" applyBorder="1" applyAlignment="1">
      <alignment horizontal="right" vertical="center" wrapText="1"/>
    </xf>
    <xf numFmtId="176" fontId="75" fillId="0" borderId="43" xfId="16" applyNumberFormat="1" applyFont="1" applyBorder="1" applyAlignment="1">
      <alignment horizontal="right" vertical="center" wrapText="1"/>
    </xf>
    <xf numFmtId="176" fontId="75" fillId="0" borderId="19" xfId="16" applyNumberFormat="1" applyFont="1" applyBorder="1" applyAlignment="1">
      <alignment horizontal="right" vertical="center" wrapText="1"/>
    </xf>
    <xf numFmtId="176" fontId="77" fillId="17" borderId="6" xfId="0" applyNumberFormat="1" applyFont="1" applyFill="1" applyBorder="1" applyAlignment="1">
      <alignment horizontal="right" vertical="center" wrapText="1"/>
    </xf>
    <xf numFmtId="176" fontId="62" fillId="17" borderId="6" xfId="0" applyNumberFormat="1" applyFont="1" applyFill="1" applyBorder="1" applyAlignment="1">
      <alignment horizontal="right" vertical="center" wrapText="1"/>
    </xf>
    <xf numFmtId="0" fontId="71" fillId="0" borderId="74" xfId="0" applyFont="1" applyBorder="1" applyAlignment="1">
      <alignment horizontal="center" vertical="center" wrapText="1"/>
    </xf>
    <xf numFmtId="0" fontId="71" fillId="0" borderId="75" xfId="0" applyFont="1" applyBorder="1" applyAlignment="1">
      <alignment horizontal="center" vertical="center" wrapText="1"/>
    </xf>
    <xf numFmtId="0" fontId="71" fillId="0" borderId="62" xfId="0" applyFont="1" applyBorder="1" applyAlignment="1">
      <alignment horizontal="center" vertical="center" wrapText="1"/>
    </xf>
    <xf numFmtId="176" fontId="75" fillId="17" borderId="6" xfId="16" applyNumberFormat="1" applyFont="1" applyFill="1" applyBorder="1" applyAlignment="1">
      <alignment horizontal="right" vertical="center" wrapText="1"/>
    </xf>
    <xf numFmtId="176" fontId="70" fillId="17" borderId="6" xfId="0" applyNumberFormat="1" applyFont="1" applyFill="1" applyBorder="1" applyAlignment="1">
      <alignment horizontal="right" vertical="center" wrapText="1"/>
    </xf>
    <xf numFmtId="176" fontId="76" fillId="17" borderId="6" xfId="0" applyNumberFormat="1" applyFont="1" applyFill="1" applyBorder="1" applyAlignment="1">
      <alignment horizontal="right" vertical="center" wrapText="1"/>
    </xf>
    <xf numFmtId="0" fontId="81" fillId="0" borderId="5" xfId="0" applyFont="1" applyBorder="1" applyAlignment="1">
      <alignment horizontal="center" vertical="center" wrapText="1"/>
    </xf>
    <xf numFmtId="0" fontId="58" fillId="17" borderId="6" xfId="0" applyFont="1" applyFill="1" applyBorder="1" applyAlignment="1">
      <alignment horizontal="left" vertical="center" wrapText="1"/>
    </xf>
    <xf numFmtId="0" fontId="58" fillId="17" borderId="6" xfId="0" applyFont="1" applyFill="1" applyBorder="1" applyAlignment="1">
      <alignment horizontal="center" vertical="center" wrapText="1"/>
    </xf>
    <xf numFmtId="0" fontId="86" fillId="17" borderId="6" xfId="0" applyFont="1" applyFill="1" applyBorder="1" applyAlignment="1">
      <alignment horizontal="left" vertical="center" wrapText="1"/>
    </xf>
    <xf numFmtId="0" fontId="62" fillId="17" borderId="6" xfId="0" applyFont="1" applyFill="1" applyBorder="1" applyAlignment="1">
      <alignment horizontal="center" vertical="center" wrapText="1"/>
    </xf>
    <xf numFmtId="176" fontId="62" fillId="17" borderId="6" xfId="16" applyNumberFormat="1" applyFont="1" applyFill="1" applyBorder="1" applyAlignment="1">
      <alignment vertical="center" wrapText="1"/>
    </xf>
    <xf numFmtId="0" fontId="43" fillId="0" borderId="9" xfId="0" applyFont="1" applyBorder="1" applyAlignment="1">
      <alignment horizontal="center" vertical="center" wrapText="1"/>
    </xf>
    <xf numFmtId="0" fontId="43" fillId="0" borderId="10" xfId="0" applyFont="1" applyBorder="1" applyAlignment="1">
      <alignment horizontal="center" vertical="center" wrapText="1"/>
    </xf>
    <xf numFmtId="0" fontId="43" fillId="0" borderId="6" xfId="0" applyFont="1" applyBorder="1" applyAlignment="1">
      <alignment horizontal="center" vertical="center" wrapText="1"/>
    </xf>
    <xf numFmtId="0" fontId="63" fillId="0" borderId="6" xfId="0" applyFont="1" applyBorder="1" applyAlignment="1">
      <alignment horizontal="center" vertical="center" wrapText="1"/>
    </xf>
    <xf numFmtId="0" fontId="63" fillId="0" borderId="9" xfId="0" applyFont="1" applyBorder="1" applyAlignment="1">
      <alignment horizontal="center" vertical="center" wrapText="1"/>
    </xf>
    <xf numFmtId="0" fontId="63" fillId="0" borderId="10" xfId="0" applyFont="1" applyBorder="1" applyAlignment="1">
      <alignment horizontal="center" vertical="center" wrapText="1"/>
    </xf>
    <xf numFmtId="0" fontId="58" fillId="0" borderId="6" xfId="0" applyFont="1" applyBorder="1" applyAlignment="1">
      <alignment horizontal="left" vertical="center" wrapText="1"/>
    </xf>
    <xf numFmtId="0" fontId="62" fillId="0" borderId="6" xfId="0" applyFont="1" applyBorder="1" applyAlignment="1">
      <alignment horizontal="left" vertical="center" wrapText="1"/>
    </xf>
    <xf numFmtId="0" fontId="61" fillId="0" borderId="73" xfId="0" applyFont="1" applyBorder="1" applyAlignment="1">
      <alignment horizontal="center" vertical="center" wrapText="1"/>
    </xf>
    <xf numFmtId="0" fontId="60" fillId="0" borderId="48" xfId="0" applyFont="1" applyBorder="1" applyAlignment="1">
      <alignment horizontal="center" vertical="center" wrapText="1"/>
    </xf>
    <xf numFmtId="0" fontId="60" fillId="0" borderId="14" xfId="0" applyFont="1" applyBorder="1" applyAlignment="1">
      <alignment horizontal="center" vertical="center" wrapText="1"/>
    </xf>
    <xf numFmtId="0" fontId="60" fillId="0" borderId="12" xfId="0" applyFont="1" applyBorder="1" applyAlignment="1">
      <alignment horizontal="center" vertical="center" wrapText="1"/>
    </xf>
    <xf numFmtId="0" fontId="60" fillId="0" borderId="3" xfId="0" applyFont="1" applyBorder="1" applyAlignment="1">
      <alignment horizontal="center" vertical="center" wrapText="1"/>
    </xf>
    <xf numFmtId="0" fontId="60" fillId="0" borderId="4" xfId="0" applyFont="1" applyBorder="1" applyAlignment="1">
      <alignment horizontal="center" vertical="center" wrapText="1"/>
    </xf>
    <xf numFmtId="0" fontId="63" fillId="0" borderId="3" xfId="0" applyFont="1" applyBorder="1" applyAlignment="1">
      <alignment horizontal="center" vertical="center" wrapText="1"/>
    </xf>
    <xf numFmtId="0" fontId="63" fillId="0" borderId="4" xfId="0" applyFont="1" applyBorder="1" applyAlignment="1">
      <alignment horizontal="center" vertical="center" wrapText="1"/>
    </xf>
    <xf numFmtId="176" fontId="63" fillId="2" borderId="3" xfId="0" applyNumberFormat="1" applyFont="1" applyFill="1" applyBorder="1" applyAlignment="1">
      <alignment horizontal="center" vertical="center" wrapText="1"/>
    </xf>
    <xf numFmtId="176" fontId="63" fillId="2" borderId="4" xfId="0" applyNumberFormat="1" applyFont="1" applyFill="1" applyBorder="1" applyAlignment="1">
      <alignment horizontal="center" vertical="center" wrapText="1"/>
    </xf>
    <xf numFmtId="176" fontId="63" fillId="2" borderId="16" xfId="0" applyNumberFormat="1" applyFont="1" applyFill="1" applyBorder="1" applyAlignment="1">
      <alignment horizontal="center" vertical="center" wrapText="1"/>
    </xf>
    <xf numFmtId="0" fontId="63" fillId="3" borderId="3" xfId="0" applyFont="1" applyFill="1" applyBorder="1" applyAlignment="1">
      <alignment horizontal="center" vertical="center" wrapText="1"/>
    </xf>
    <xf numFmtId="0" fontId="63" fillId="3" borderId="4" xfId="0" applyFont="1" applyFill="1" applyBorder="1" applyAlignment="1">
      <alignment horizontal="center" vertical="center" wrapText="1"/>
    </xf>
    <xf numFmtId="0" fontId="63" fillId="3" borderId="16" xfId="0" applyFont="1" applyFill="1" applyBorder="1" applyAlignment="1">
      <alignment horizontal="center" vertical="center" wrapText="1"/>
    </xf>
    <xf numFmtId="0" fontId="63" fillId="4" borderId="3" xfId="0" applyFont="1" applyFill="1" applyBorder="1" applyAlignment="1">
      <alignment horizontal="center" vertical="center" wrapText="1"/>
    </xf>
    <xf numFmtId="0" fontId="63" fillId="4" borderId="4" xfId="0" applyFont="1" applyFill="1" applyBorder="1" applyAlignment="1">
      <alignment horizontal="center" vertical="center" wrapText="1"/>
    </xf>
    <xf numFmtId="0" fontId="63" fillId="4" borderId="16" xfId="0" applyFont="1" applyFill="1" applyBorder="1" applyAlignment="1">
      <alignment horizontal="center" vertical="center" wrapText="1"/>
    </xf>
    <xf numFmtId="0" fontId="63" fillId="5" borderId="28" xfId="0" applyFont="1" applyFill="1" applyBorder="1" applyAlignment="1">
      <alignment horizontal="center" vertical="center" wrapText="1"/>
    </xf>
    <xf numFmtId="0" fontId="63" fillId="5" borderId="29" xfId="0" applyFont="1" applyFill="1" applyBorder="1" applyAlignment="1">
      <alignment horizontal="center" vertical="center" wrapText="1"/>
    </xf>
    <xf numFmtId="0" fontId="63" fillId="5" borderId="34" xfId="0" applyFont="1" applyFill="1" applyBorder="1" applyAlignment="1">
      <alignment horizontal="center" vertical="center" wrapText="1"/>
    </xf>
    <xf numFmtId="0" fontId="63" fillId="3" borderId="25" xfId="0" applyFont="1" applyFill="1" applyBorder="1" applyAlignment="1">
      <alignment horizontal="center" vertical="center" wrapText="1"/>
    </xf>
    <xf numFmtId="0" fontId="63" fillId="3" borderId="26" xfId="0" applyFont="1" applyFill="1" applyBorder="1" applyAlignment="1">
      <alignment horizontal="center" vertical="center" wrapText="1"/>
    </xf>
    <xf numFmtId="0" fontId="63" fillId="3" borderId="45" xfId="0" applyFont="1" applyFill="1" applyBorder="1" applyAlignment="1">
      <alignment horizontal="center" vertical="center" wrapText="1"/>
    </xf>
    <xf numFmtId="176" fontId="65" fillId="3" borderId="25" xfId="0" applyNumberFormat="1" applyFont="1" applyFill="1" applyBorder="1" applyAlignment="1">
      <alignment horizontal="center" vertical="center" wrapText="1"/>
    </xf>
    <xf numFmtId="176" fontId="65" fillId="3" borderId="26" xfId="0" applyNumberFormat="1" applyFont="1" applyFill="1" applyBorder="1" applyAlignment="1">
      <alignment horizontal="center" vertical="center" wrapText="1"/>
    </xf>
    <xf numFmtId="176" fontId="65" fillId="3" borderId="45" xfId="0" applyNumberFormat="1" applyFont="1" applyFill="1" applyBorder="1" applyAlignment="1">
      <alignment horizontal="center" vertical="center" wrapText="1"/>
    </xf>
    <xf numFmtId="49" fontId="63" fillId="4" borderId="25" xfId="0" applyNumberFormat="1" applyFont="1" applyFill="1" applyBorder="1" applyAlignment="1">
      <alignment horizontal="center" vertical="center" wrapText="1"/>
    </xf>
    <xf numFmtId="49" fontId="63" fillId="4" borderId="26" xfId="0" applyNumberFormat="1" applyFont="1" applyFill="1" applyBorder="1" applyAlignment="1">
      <alignment horizontal="center" vertical="center" wrapText="1"/>
    </xf>
    <xf numFmtId="49" fontId="63" fillId="4" borderId="45" xfId="0" applyNumberFormat="1" applyFont="1" applyFill="1" applyBorder="1" applyAlignment="1">
      <alignment horizontal="center" vertical="center" wrapText="1"/>
    </xf>
    <xf numFmtId="176" fontId="66" fillId="4" borderId="9" xfId="0" applyNumberFormat="1" applyFont="1" applyFill="1" applyBorder="1" applyAlignment="1">
      <alignment horizontal="center" vertical="center" wrapText="1"/>
    </xf>
    <xf numFmtId="176" fontId="66" fillId="4" borderId="10" xfId="0" applyNumberFormat="1" applyFont="1" applyFill="1" applyBorder="1" applyAlignment="1">
      <alignment horizontal="center" vertical="center" wrapText="1"/>
    </xf>
    <xf numFmtId="176" fontId="63" fillId="2" borderId="9" xfId="0" applyNumberFormat="1" applyFont="1" applyFill="1" applyBorder="1" applyAlignment="1">
      <alignment horizontal="center" vertical="center" wrapText="1"/>
    </xf>
    <xf numFmtId="176" fontId="63" fillId="2" borderId="10" xfId="0" applyNumberFormat="1" applyFont="1" applyFill="1" applyBorder="1" applyAlignment="1">
      <alignment horizontal="center" vertical="center" wrapText="1"/>
    </xf>
    <xf numFmtId="0" fontId="81" fillId="0" borderId="13" xfId="0" applyFont="1" applyBorder="1" applyAlignment="1">
      <alignment horizontal="center" vertical="center" wrapText="1"/>
    </xf>
    <xf numFmtId="0" fontId="81" fillId="0" borderId="14" xfId="0" applyFont="1" applyBorder="1" applyAlignment="1">
      <alignment horizontal="center" vertical="center" wrapText="1"/>
    </xf>
    <xf numFmtId="0" fontId="58" fillId="10" borderId="9" xfId="0" applyFont="1" applyFill="1" applyBorder="1" applyAlignment="1">
      <alignment horizontal="left" vertical="center" wrapText="1"/>
    </xf>
    <xf numFmtId="0" fontId="58" fillId="10" borderId="15" xfId="0" applyFont="1" applyFill="1" applyBorder="1" applyAlignment="1">
      <alignment horizontal="left" vertical="center" wrapText="1"/>
    </xf>
    <xf numFmtId="0" fontId="58" fillId="0" borderId="9" xfId="0" applyFont="1" applyBorder="1" applyAlignment="1">
      <alignment horizontal="center" vertical="center" wrapText="1"/>
    </xf>
    <xf numFmtId="0" fontId="58" fillId="0" borderId="15" xfId="0" applyFont="1" applyBorder="1" applyAlignment="1">
      <alignment horizontal="center" vertical="center" wrapText="1"/>
    </xf>
    <xf numFmtId="0" fontId="62" fillId="0" borderId="9" xfId="0" applyFont="1" applyBorder="1" applyAlignment="1">
      <alignment horizontal="center" vertical="center" wrapText="1"/>
    </xf>
    <xf numFmtId="0" fontId="62" fillId="0" borderId="15" xfId="0" applyFont="1" applyBorder="1" applyAlignment="1">
      <alignment horizontal="center" vertical="center" wrapText="1"/>
    </xf>
    <xf numFmtId="176" fontId="76" fillId="0" borderId="9" xfId="0" applyNumberFormat="1" applyFont="1" applyBorder="1" applyAlignment="1">
      <alignment horizontal="center" vertical="center" wrapText="1"/>
    </xf>
    <xf numFmtId="176" fontId="76" fillId="0" borderId="15" xfId="0" applyNumberFormat="1" applyFont="1" applyBorder="1" applyAlignment="1">
      <alignment horizontal="center" vertical="center" wrapText="1"/>
    </xf>
    <xf numFmtId="176" fontId="76" fillId="0" borderId="10" xfId="0" applyNumberFormat="1" applyFont="1" applyBorder="1" applyAlignment="1">
      <alignment horizontal="center" vertical="center" wrapText="1"/>
    </xf>
    <xf numFmtId="176" fontId="62" fillId="0" borderId="9" xfId="0" applyNumberFormat="1" applyFont="1" applyBorder="1" applyAlignment="1">
      <alignment horizontal="center" vertical="center" wrapText="1"/>
    </xf>
    <xf numFmtId="176" fontId="62" fillId="0" borderId="15" xfId="0" applyNumberFormat="1" applyFont="1" applyBorder="1" applyAlignment="1">
      <alignment horizontal="center" vertical="center" wrapText="1"/>
    </xf>
    <xf numFmtId="176" fontId="62" fillId="0" borderId="10" xfId="0" applyNumberFormat="1" applyFont="1" applyBorder="1" applyAlignment="1">
      <alignment horizontal="center" vertical="center" wrapText="1"/>
    </xf>
    <xf numFmtId="0" fontId="62" fillId="0" borderId="20" xfId="0" applyFont="1" applyBorder="1" applyAlignment="1">
      <alignment horizontal="left" vertical="center" wrapText="1"/>
    </xf>
    <xf numFmtId="0" fontId="62" fillId="0" borderId="22" xfId="0" applyFont="1" applyBorder="1" applyAlignment="1">
      <alignment horizontal="left" vertical="center" wrapText="1"/>
    </xf>
    <xf numFmtId="0" fontId="62" fillId="0" borderId="76" xfId="0" applyFont="1" applyBorder="1" applyAlignment="1">
      <alignment horizontal="left" vertical="center" wrapText="1"/>
    </xf>
    <xf numFmtId="0" fontId="62" fillId="0" borderId="77" xfId="0" applyFont="1" applyBorder="1" applyAlignment="1">
      <alignment horizontal="left" vertical="center" wrapText="1"/>
    </xf>
    <xf numFmtId="0" fontId="62" fillId="0" borderId="78" xfId="0" applyFont="1" applyBorder="1" applyAlignment="1">
      <alignment horizontal="left" vertical="center" wrapText="1"/>
    </xf>
    <xf numFmtId="0" fontId="62" fillId="0" borderId="79" xfId="0" applyFont="1" applyBorder="1" applyAlignment="1">
      <alignment horizontal="left" vertical="center" wrapText="1"/>
    </xf>
    <xf numFmtId="176" fontId="62" fillId="0" borderId="9" xfId="16" applyNumberFormat="1" applyFont="1" applyBorder="1" applyAlignment="1">
      <alignment vertical="center" wrapText="1"/>
    </xf>
    <xf numFmtId="176" fontId="62" fillId="0" borderId="15" xfId="16" applyNumberFormat="1" applyFont="1" applyBorder="1" applyAlignment="1">
      <alignment vertical="center" wrapText="1"/>
    </xf>
    <xf numFmtId="176" fontId="62" fillId="0" borderId="10" xfId="16" applyNumberFormat="1" applyFont="1" applyBorder="1" applyAlignment="1">
      <alignment vertical="center" wrapText="1"/>
    </xf>
    <xf numFmtId="0" fontId="81" fillId="0" borderId="12" xfId="0" applyFont="1" applyBorder="1" applyAlignment="1">
      <alignment horizontal="center" vertical="center" wrapText="1"/>
    </xf>
    <xf numFmtId="0" fontId="58" fillId="0" borderId="9" xfId="0" applyFont="1" applyBorder="1" applyAlignment="1">
      <alignment horizontal="left" vertical="center" wrapText="1"/>
    </xf>
    <xf numFmtId="0" fontId="58" fillId="0" borderId="15" xfId="0" applyFont="1" applyBorder="1" applyAlignment="1">
      <alignment horizontal="left" vertical="center" wrapText="1"/>
    </xf>
    <xf numFmtId="0" fontId="58" fillId="0" borderId="10" xfId="0" applyFont="1" applyBorder="1" applyAlignment="1">
      <alignment horizontal="left" vertical="center" wrapText="1"/>
    </xf>
    <xf numFmtId="0" fontId="58" fillId="0" borderId="10" xfId="0" applyFont="1" applyBorder="1" applyAlignment="1">
      <alignment horizontal="center" vertical="center" wrapText="1"/>
    </xf>
    <xf numFmtId="0" fontId="62" fillId="0" borderId="6" xfId="0" applyFont="1" applyBorder="1" applyAlignment="1">
      <alignment horizontal="center" vertical="center" wrapText="1"/>
    </xf>
    <xf numFmtId="0" fontId="62" fillId="0" borderId="80" xfId="0" applyFont="1" applyBorder="1" applyAlignment="1">
      <alignment horizontal="left" vertical="center" wrapText="1"/>
    </xf>
    <xf numFmtId="0" fontId="62" fillId="0" borderId="81" xfId="0" applyFont="1" applyBorder="1" applyAlignment="1">
      <alignment horizontal="left" vertical="center" wrapText="1"/>
    </xf>
    <xf numFmtId="0" fontId="62" fillId="0" borderId="82" xfId="0" applyFont="1" applyBorder="1" applyAlignment="1">
      <alignment horizontal="left" vertical="center" wrapText="1"/>
    </xf>
    <xf numFmtId="0" fontId="62" fillId="0" borderId="83" xfId="0" applyFont="1" applyBorder="1" applyAlignment="1">
      <alignment horizontal="left" vertical="center" wrapText="1"/>
    </xf>
    <xf numFmtId="0" fontId="62" fillId="0" borderId="84" xfId="0" applyFont="1" applyBorder="1" applyAlignment="1">
      <alignment horizontal="left" vertical="center" wrapText="1"/>
    </xf>
    <xf numFmtId="0" fontId="62" fillId="0" borderId="85" xfId="0" applyFont="1" applyBorder="1" applyAlignment="1">
      <alignment horizontal="left" vertical="center" wrapText="1"/>
    </xf>
    <xf numFmtId="0" fontId="70" fillId="0" borderId="9" xfId="0" applyFont="1" applyBorder="1" applyAlignment="1">
      <alignment horizontal="left" vertical="center" wrapText="1"/>
    </xf>
    <xf numFmtId="0" fontId="70" fillId="0" borderId="15" xfId="0" applyFont="1" applyBorder="1" applyAlignment="1">
      <alignment horizontal="left" vertical="center" wrapText="1"/>
    </xf>
    <xf numFmtId="0" fontId="70" fillId="0" borderId="10" xfId="0" applyFont="1" applyBorder="1" applyAlignment="1">
      <alignment horizontal="left" vertical="center" wrapText="1"/>
    </xf>
    <xf numFmtId="0" fontId="62" fillId="0" borderId="10" xfId="0" applyFont="1" applyBorder="1" applyAlignment="1">
      <alignment horizontal="center" vertical="center" wrapText="1"/>
    </xf>
    <xf numFmtId="0" fontId="62" fillId="0" borderId="9" xfId="0" applyFont="1" applyBorder="1" applyAlignment="1">
      <alignment horizontal="left" vertical="center" wrapText="1"/>
    </xf>
    <xf numFmtId="0" fontId="62" fillId="0" borderId="15" xfId="0" applyFont="1" applyBorder="1" applyAlignment="1">
      <alignment horizontal="left" vertical="center" wrapText="1"/>
    </xf>
    <xf numFmtId="0" fontId="62" fillId="0" borderId="10" xfId="0" applyFont="1" applyBorder="1" applyAlignment="1">
      <alignment horizontal="left" vertical="center" wrapText="1"/>
    </xf>
    <xf numFmtId="0" fontId="58" fillId="9" borderId="6" xfId="0" applyFont="1" applyFill="1" applyBorder="1" applyAlignment="1">
      <alignment horizontal="left" vertical="center" wrapText="1"/>
    </xf>
    <xf numFmtId="0" fontId="58" fillId="9" borderId="9" xfId="0" applyFont="1" applyFill="1" applyBorder="1" applyAlignment="1">
      <alignment horizontal="left" vertical="center" wrapText="1"/>
    </xf>
    <xf numFmtId="0" fontId="70" fillId="0" borderId="6" xfId="0" applyFont="1" applyBorder="1" applyAlignment="1">
      <alignment horizontal="center" vertical="center" wrapText="1"/>
    </xf>
    <xf numFmtId="0" fontId="70" fillId="0" borderId="9" xfId="0" applyFont="1" applyBorder="1" applyAlignment="1">
      <alignment horizontal="center" vertical="center" wrapText="1"/>
    </xf>
    <xf numFmtId="176" fontId="75" fillId="0" borderId="36" xfId="16" applyNumberFormat="1" applyFont="1" applyBorder="1" applyAlignment="1">
      <alignment horizontal="right" vertical="center" wrapText="1"/>
    </xf>
    <xf numFmtId="0" fontId="70" fillId="0" borderId="6" xfId="0" applyFont="1" applyBorder="1" applyAlignment="1">
      <alignment horizontal="left" vertical="center" wrapText="1"/>
    </xf>
    <xf numFmtId="0" fontId="64" fillId="17" borderId="32" xfId="0" applyFont="1" applyFill="1" applyBorder="1" applyAlignment="1">
      <alignment horizontal="left" vertical="center" wrapText="1"/>
    </xf>
    <xf numFmtId="176" fontId="76" fillId="0" borderId="36" xfId="0" applyNumberFormat="1" applyFont="1" applyBorder="1" applyAlignment="1">
      <alignment horizontal="right" vertical="center" wrapText="1"/>
    </xf>
    <xf numFmtId="176" fontId="62" fillId="0" borderId="36" xfId="0" applyNumberFormat="1" applyFont="1" applyBorder="1" applyAlignment="1">
      <alignment horizontal="right" vertical="center" wrapText="1"/>
    </xf>
    <xf numFmtId="176" fontId="77" fillId="0" borderId="36" xfId="0" applyNumberFormat="1" applyFont="1" applyBorder="1" applyAlignment="1">
      <alignment horizontal="right" vertical="center" wrapText="1"/>
    </xf>
    <xf numFmtId="0" fontId="81" fillId="0" borderId="35" xfId="0" applyFont="1" applyBorder="1" applyAlignment="1">
      <alignment horizontal="center" vertical="center" wrapText="1"/>
    </xf>
    <xf numFmtId="0" fontId="58" fillId="0" borderId="36" xfId="0" applyFont="1" applyBorder="1" applyAlignment="1">
      <alignment horizontal="left" vertical="center" wrapText="1"/>
    </xf>
    <xf numFmtId="0" fontId="58" fillId="0" borderId="36" xfId="0" applyFont="1" applyBorder="1" applyAlignment="1">
      <alignment horizontal="center" vertical="center" wrapText="1"/>
    </xf>
    <xf numFmtId="0" fontId="63" fillId="0" borderId="30" xfId="0" applyFont="1" applyBorder="1" applyAlignment="1">
      <alignment horizontal="left" vertical="center" wrapText="1"/>
    </xf>
    <xf numFmtId="176" fontId="70" fillId="0" borderId="36" xfId="0" applyNumberFormat="1" applyFont="1" applyBorder="1" applyAlignment="1">
      <alignment horizontal="right" vertical="center" wrapText="1"/>
    </xf>
    <xf numFmtId="0" fontId="62" fillId="17" borderId="6" xfId="0" applyFont="1" applyFill="1" applyBorder="1" applyAlignment="1">
      <alignment horizontal="left" vertical="center" wrapText="1"/>
    </xf>
    <xf numFmtId="0" fontId="81" fillId="0" borderId="13" xfId="0" applyFont="1" applyBorder="1" applyAlignment="1">
      <alignment vertical="center" wrapText="1"/>
    </xf>
    <xf numFmtId="0" fontId="81" fillId="0" borderId="14" xfId="0" applyFont="1" applyBorder="1" applyAlignment="1">
      <alignment vertical="center" wrapText="1"/>
    </xf>
    <xf numFmtId="0" fontId="81" fillId="0" borderId="12" xfId="0" applyFont="1" applyBorder="1" applyAlignment="1">
      <alignment vertical="center" wrapText="1"/>
    </xf>
    <xf numFmtId="0" fontId="41" fillId="0" borderId="9" xfId="0" applyFont="1" applyBorder="1" applyAlignment="1">
      <alignment horizontal="center" vertical="center" wrapText="1"/>
    </xf>
    <xf numFmtId="0" fontId="41" fillId="0" borderId="15" xfId="0" applyFont="1" applyBorder="1" applyAlignment="1">
      <alignment horizontal="center" vertical="center" wrapText="1"/>
    </xf>
    <xf numFmtId="0" fontId="41" fillId="0" borderId="10" xfId="0" applyFont="1" applyBorder="1" applyAlignment="1">
      <alignment horizontal="center" vertical="center" wrapText="1"/>
    </xf>
    <xf numFmtId="0" fontId="84" fillId="0" borderId="9" xfId="0" applyFont="1" applyBorder="1" applyAlignment="1">
      <alignment horizontal="left" vertical="center" wrapText="1"/>
    </xf>
    <xf numFmtId="0" fontId="84" fillId="0" borderId="15" xfId="0" applyFont="1" applyBorder="1" applyAlignment="1">
      <alignment horizontal="left" vertical="center" wrapText="1"/>
    </xf>
    <xf numFmtId="0" fontId="84" fillId="0" borderId="10" xfId="0" applyFont="1" applyBorder="1" applyAlignment="1">
      <alignment horizontal="left" vertical="center" wrapText="1"/>
    </xf>
    <xf numFmtId="0" fontId="85" fillId="0" borderId="6" xfId="0" applyFont="1" applyBorder="1" applyAlignment="1">
      <alignment horizontal="left" vertical="center" wrapText="1"/>
    </xf>
    <xf numFmtId="0" fontId="85" fillId="0" borderId="9" xfId="0" applyFont="1" applyBorder="1" applyAlignment="1">
      <alignment horizontal="left" vertical="center" wrapText="1"/>
    </xf>
    <xf numFmtId="0" fontId="73" fillId="0" borderId="6" xfId="0" applyFont="1" applyBorder="1" applyAlignment="1">
      <alignment horizontal="left" vertical="center" wrapText="1"/>
    </xf>
    <xf numFmtId="0" fontId="73" fillId="0" borderId="9" xfId="0" applyFont="1" applyBorder="1" applyAlignment="1">
      <alignment horizontal="left" vertical="center" wrapText="1"/>
    </xf>
    <xf numFmtId="0" fontId="58" fillId="8" borderId="6" xfId="0" applyFont="1" applyFill="1" applyBorder="1" applyAlignment="1">
      <alignment horizontal="left" vertical="center" wrapText="1"/>
    </xf>
    <xf numFmtId="0" fontId="58" fillId="8" borderId="9" xfId="0" applyFont="1" applyFill="1" applyBorder="1" applyAlignment="1">
      <alignment horizontal="left" vertical="center" wrapText="1"/>
    </xf>
    <xf numFmtId="0" fontId="70" fillId="0" borderId="15" xfId="0" applyFont="1" applyBorder="1" applyAlignment="1">
      <alignment horizontal="center" vertical="center" wrapText="1"/>
    </xf>
    <xf numFmtId="0" fontId="70" fillId="0" borderId="10" xfId="0" applyFont="1" applyBorder="1" applyAlignment="1">
      <alignment horizontal="center" vertical="center" wrapText="1"/>
    </xf>
    <xf numFmtId="176" fontId="62" fillId="0" borderId="6" xfId="0" applyNumberFormat="1" applyFont="1" applyBorder="1" applyAlignment="1">
      <alignment horizontal="right" vertical="center" wrapText="1"/>
    </xf>
    <xf numFmtId="176" fontId="76" fillId="0" borderId="6" xfId="0" applyNumberFormat="1" applyFont="1" applyBorder="1" applyAlignment="1">
      <alignment horizontal="right" vertical="center" wrapText="1"/>
    </xf>
    <xf numFmtId="176" fontId="77" fillId="0" borderId="6" xfId="0" applyNumberFormat="1" applyFont="1" applyBorder="1" applyAlignment="1">
      <alignment horizontal="right" vertical="center" wrapText="1"/>
    </xf>
    <xf numFmtId="0" fontId="63" fillId="0" borderId="32" xfId="0" applyFont="1" applyBorder="1" applyAlignment="1">
      <alignment horizontal="left" vertical="center" wrapText="1"/>
    </xf>
    <xf numFmtId="0" fontId="62" fillId="0" borderId="5" xfId="0" applyFont="1" applyBorder="1" applyAlignment="1">
      <alignment horizontal="center" vertical="center" wrapText="1"/>
    </xf>
    <xf numFmtId="49" fontId="58" fillId="0" borderId="6" xfId="0" applyNumberFormat="1" applyFont="1" applyBorder="1" applyAlignment="1">
      <alignment horizontal="center" vertical="center" wrapText="1"/>
    </xf>
    <xf numFmtId="176" fontId="62" fillId="0" borderId="11" xfId="16" applyNumberFormat="1" applyFont="1" applyBorder="1" applyAlignment="1">
      <alignment vertical="center" wrapText="1"/>
    </xf>
    <xf numFmtId="176" fontId="62" fillId="0" borderId="6" xfId="16" applyNumberFormat="1" applyFont="1" applyBorder="1" applyAlignment="1">
      <alignment vertical="center" wrapText="1"/>
    </xf>
    <xf numFmtId="176" fontId="75" fillId="0" borderId="6" xfId="16" applyNumberFormat="1" applyFont="1" applyBorder="1" applyAlignment="1">
      <alignment horizontal="right" vertical="center" wrapText="1"/>
    </xf>
    <xf numFmtId="176" fontId="70" fillId="0" borderId="6" xfId="0" applyNumberFormat="1" applyFont="1" applyBorder="1" applyAlignment="1">
      <alignment horizontal="right" vertical="center" wrapText="1"/>
    </xf>
    <xf numFmtId="49" fontId="58" fillId="0" borderId="9" xfId="0" applyNumberFormat="1" applyFont="1" applyBorder="1" applyAlignment="1">
      <alignment horizontal="center" vertical="center" wrapText="1"/>
    </xf>
    <xf numFmtId="49" fontId="58" fillId="0" borderId="15" xfId="0" applyNumberFormat="1" applyFont="1" applyBorder="1" applyAlignment="1">
      <alignment horizontal="center" vertical="center" wrapText="1"/>
    </xf>
    <xf numFmtId="49" fontId="58" fillId="0" borderId="10" xfId="0" applyNumberFormat="1" applyFont="1" applyBorder="1" applyAlignment="1">
      <alignment horizontal="center" vertical="center" wrapText="1"/>
    </xf>
    <xf numFmtId="0" fontId="62" fillId="0" borderId="13" xfId="0" applyFont="1" applyBorder="1" applyAlignment="1">
      <alignment horizontal="center" vertical="center" wrapText="1"/>
    </xf>
    <xf numFmtId="0" fontId="45" fillId="0" borderId="74" xfId="0" applyFont="1" applyBorder="1" applyAlignment="1">
      <alignment horizontal="center" vertical="center" wrapText="1"/>
    </xf>
    <xf numFmtId="0" fontId="45" fillId="0" borderId="75" xfId="0" applyFont="1" applyBorder="1" applyAlignment="1">
      <alignment horizontal="center" vertical="center" wrapText="1"/>
    </xf>
    <xf numFmtId="0" fontId="62" fillId="0" borderId="14" xfId="0" applyFont="1" applyBorder="1" applyAlignment="1">
      <alignment horizontal="center" vertical="center" wrapText="1"/>
    </xf>
    <xf numFmtId="0" fontId="62" fillId="0" borderId="12" xfId="0" applyFont="1" applyBorder="1" applyAlignment="1">
      <alignment horizontal="center" vertical="center" wrapText="1"/>
    </xf>
    <xf numFmtId="0" fontId="58" fillId="8" borderId="15" xfId="0" applyFont="1" applyFill="1" applyBorder="1" applyAlignment="1">
      <alignment horizontal="left" vertical="center" wrapText="1"/>
    </xf>
    <xf numFmtId="0" fontId="58" fillId="8" borderId="10" xfId="0" applyFont="1" applyFill="1" applyBorder="1" applyAlignment="1">
      <alignment horizontal="left" vertical="center" wrapText="1"/>
    </xf>
    <xf numFmtId="176" fontId="76" fillId="0" borderId="8" xfId="0" applyNumberFormat="1" applyFont="1" applyBorder="1" applyAlignment="1">
      <alignment horizontal="right" vertical="center" wrapText="1"/>
    </xf>
    <xf numFmtId="176" fontId="62" fillId="0" borderId="8" xfId="0" applyNumberFormat="1" applyFont="1" applyBorder="1" applyAlignment="1">
      <alignment horizontal="right" vertical="center" wrapText="1"/>
    </xf>
    <xf numFmtId="176" fontId="77" fillId="0" borderId="8" xfId="0" applyNumberFormat="1" applyFont="1" applyBorder="1" applyAlignment="1">
      <alignment horizontal="right" vertical="center" wrapText="1"/>
    </xf>
    <xf numFmtId="0" fontId="63" fillId="0" borderId="39" xfId="0" applyFont="1" applyBorder="1" applyAlignment="1">
      <alignment horizontal="left" vertical="center" wrapText="1"/>
    </xf>
    <xf numFmtId="176" fontId="75" fillId="0" borderId="8" xfId="16" applyNumberFormat="1" applyFont="1" applyBorder="1" applyAlignment="1">
      <alignment horizontal="right" vertical="center" wrapText="1"/>
    </xf>
    <xf numFmtId="176" fontId="70" fillId="0" borderId="8" xfId="0" applyNumberFormat="1" applyFont="1" applyBorder="1" applyAlignment="1">
      <alignment horizontal="right" vertical="center" wrapText="1"/>
    </xf>
    <xf numFmtId="0" fontId="62" fillId="0" borderId="7" xfId="0" applyFont="1" applyBorder="1" applyAlignment="1">
      <alignment horizontal="center" vertical="center" wrapText="1"/>
    </xf>
    <xf numFmtId="0" fontId="58" fillId="0" borderId="8" xfId="0" applyFont="1" applyBorder="1" applyAlignment="1">
      <alignment horizontal="left" vertical="center" wrapText="1"/>
    </xf>
    <xf numFmtId="49" fontId="58" fillId="0" borderId="8" xfId="0" applyNumberFormat="1" applyFont="1" applyBorder="1" applyAlignment="1">
      <alignment horizontal="center" vertical="center" wrapText="1"/>
    </xf>
    <xf numFmtId="0" fontId="62" fillId="0" borderId="8" xfId="0" applyFont="1" applyBorder="1" applyAlignment="1">
      <alignment horizontal="center" vertical="center" wrapText="1"/>
    </xf>
    <xf numFmtId="0" fontId="62" fillId="0" borderId="8" xfId="0" applyFont="1" applyBorder="1" applyAlignment="1">
      <alignment horizontal="left" vertical="center" wrapText="1"/>
    </xf>
    <xf numFmtId="176" fontId="62" fillId="0" borderId="8" xfId="16" applyNumberFormat="1" applyFont="1" applyBorder="1" applyAlignment="1">
      <alignment vertical="center" wrapText="1"/>
    </xf>
    <xf numFmtId="0" fontId="63" fillId="0" borderId="48" xfId="0" applyFont="1" applyBorder="1" applyAlignment="1">
      <alignment horizontal="center" vertical="center" wrapText="1"/>
    </xf>
    <xf numFmtId="0" fontId="63" fillId="0" borderId="14" xfId="0" applyFont="1" applyBorder="1" applyAlignment="1">
      <alignment horizontal="center" vertical="center" wrapText="1"/>
    </xf>
    <xf numFmtId="0" fontId="63" fillId="0" borderId="12" xfId="0" applyFont="1" applyBorder="1" applyAlignment="1">
      <alignment horizontal="center" vertical="center" wrapText="1"/>
    </xf>
    <xf numFmtId="49" fontId="43" fillId="0" borderId="9" xfId="0" applyNumberFormat="1" applyFont="1" applyBorder="1" applyAlignment="1">
      <alignment horizontal="center" vertical="center" wrapText="1"/>
    </xf>
    <xf numFmtId="49" fontId="43" fillId="0" borderId="10" xfId="0" applyNumberFormat="1" applyFont="1" applyBorder="1" applyAlignment="1">
      <alignment horizontal="center" vertical="center" wrapText="1"/>
    </xf>
    <xf numFmtId="0" fontId="62" fillId="0" borderId="9" xfId="0" applyFont="1" applyBorder="1" applyAlignment="1">
      <alignment vertical="center" wrapText="1"/>
    </xf>
    <xf numFmtId="0" fontId="62" fillId="0" borderId="15" xfId="0" applyFont="1" applyBorder="1" applyAlignment="1">
      <alignment vertical="center" wrapText="1"/>
    </xf>
    <xf numFmtId="0" fontId="62" fillId="0" borderId="10" xfId="0" applyFont="1" applyBorder="1" applyAlignment="1">
      <alignment vertical="center" wrapText="1"/>
    </xf>
    <xf numFmtId="0" fontId="58" fillId="0" borderId="9" xfId="0" applyFont="1" applyBorder="1" applyAlignment="1">
      <alignment vertical="center" wrapText="1"/>
    </xf>
    <xf numFmtId="0" fontId="58" fillId="0" borderId="15" xfId="0" applyFont="1" applyBorder="1" applyAlignment="1">
      <alignment vertical="center" wrapText="1"/>
    </xf>
    <xf numFmtId="0" fontId="58" fillId="0" borderId="10" xfId="0" applyFont="1" applyBorder="1" applyAlignment="1">
      <alignment vertical="center" wrapText="1"/>
    </xf>
    <xf numFmtId="0" fontId="58" fillId="10" borderId="9" xfId="0" applyFont="1" applyFill="1" applyBorder="1" applyAlignment="1">
      <alignment vertical="center" wrapText="1"/>
    </xf>
    <xf numFmtId="0" fontId="58" fillId="10" borderId="15" xfId="0" applyFont="1" applyFill="1" applyBorder="1" applyAlignment="1">
      <alignment vertical="center" wrapText="1"/>
    </xf>
    <xf numFmtId="0" fontId="58" fillId="10" borderId="10" xfId="0" applyFont="1" applyFill="1" applyBorder="1" applyAlignment="1">
      <alignment vertical="center" wrapText="1"/>
    </xf>
    <xf numFmtId="0" fontId="62" fillId="0" borderId="22" xfId="0" applyFont="1" applyBorder="1" applyAlignment="1">
      <alignment horizontal="center" vertical="center" wrapText="1"/>
    </xf>
    <xf numFmtId="0" fontId="62" fillId="0" borderId="77" xfId="0" applyFont="1" applyBorder="1" applyAlignment="1">
      <alignment horizontal="center" vertical="center" wrapText="1"/>
    </xf>
    <xf numFmtId="0" fontId="62" fillId="0" borderId="79" xfId="0" applyFont="1" applyBorder="1" applyAlignment="1">
      <alignment horizontal="center" vertical="center" wrapText="1"/>
    </xf>
    <xf numFmtId="0" fontId="58" fillId="10" borderId="6" xfId="0" applyFont="1" applyFill="1" applyBorder="1" applyAlignment="1">
      <alignment vertical="center" wrapText="1"/>
    </xf>
    <xf numFmtId="0" fontId="58" fillId="8" borderId="6" xfId="0" applyFont="1" applyFill="1" applyBorder="1" applyAlignment="1">
      <alignment vertical="center" wrapText="1"/>
    </xf>
    <xf numFmtId="0" fontId="58" fillId="0" borderId="6" xfId="0" applyFont="1" applyBorder="1" applyAlignment="1">
      <alignment vertical="center" wrapText="1"/>
    </xf>
    <xf numFmtId="0" fontId="58" fillId="10" borderId="10" xfId="0" applyFont="1" applyFill="1" applyBorder="1" applyAlignment="1">
      <alignment horizontal="left" vertical="center" wrapText="1"/>
    </xf>
    <xf numFmtId="0" fontId="62" fillId="0" borderId="11" xfId="0" applyFont="1" applyBorder="1" applyAlignment="1">
      <alignment horizontal="center" vertical="center" wrapText="1"/>
    </xf>
    <xf numFmtId="0" fontId="58" fillId="0" borderId="2" xfId="0" applyFont="1" applyBorder="1" applyAlignment="1">
      <alignment horizontal="center" vertical="center"/>
    </xf>
    <xf numFmtId="0" fontId="58" fillId="0" borderId="6" xfId="0" applyFont="1" applyBorder="1" applyAlignment="1">
      <alignment horizontal="center" vertical="center"/>
    </xf>
    <xf numFmtId="0" fontId="58" fillId="0" borderId="1" xfId="0" applyFont="1" applyBorder="1" applyAlignment="1">
      <alignment horizontal="center" vertical="center"/>
    </xf>
    <xf numFmtId="0" fontId="58" fillId="0" borderId="5" xfId="0" applyFont="1" applyBorder="1" applyAlignment="1">
      <alignment horizontal="center" vertical="center"/>
    </xf>
    <xf numFmtId="0" fontId="58" fillId="0" borderId="0" xfId="0" applyFont="1" applyAlignment="1">
      <alignment horizontal="center" vertical="center"/>
    </xf>
    <xf numFmtId="0" fontId="58" fillId="0" borderId="71" xfId="0" applyFont="1" applyBorder="1" applyAlignment="1">
      <alignment horizontal="center" vertical="center"/>
    </xf>
    <xf numFmtId="0" fontId="58" fillId="0" borderId="72" xfId="0" applyFont="1" applyBorder="1" applyAlignment="1">
      <alignment horizontal="center" vertical="center"/>
    </xf>
    <xf numFmtId="0" fontId="58" fillId="0" borderId="31" xfId="0" applyFont="1" applyBorder="1" applyAlignment="1">
      <alignment horizontal="center" vertical="center"/>
    </xf>
    <xf numFmtId="0" fontId="58" fillId="0" borderId="32" xfId="0" applyFont="1" applyBorder="1" applyAlignment="1">
      <alignment horizontal="center" vertical="center"/>
    </xf>
    <xf numFmtId="49" fontId="69" fillId="0" borderId="10" xfId="0" applyNumberFormat="1" applyFont="1" applyBorder="1" applyAlignment="1">
      <alignment horizontal="center" vertical="center" wrapText="1"/>
    </xf>
    <xf numFmtId="49" fontId="69" fillId="0" borderId="9" xfId="0" applyNumberFormat="1" applyFont="1" applyBorder="1" applyAlignment="1">
      <alignment horizontal="center" vertical="center" wrapText="1"/>
    </xf>
    <xf numFmtId="49" fontId="69" fillId="0" borderId="15" xfId="0" applyNumberFormat="1" applyFont="1" applyBorder="1" applyAlignment="1">
      <alignment horizontal="center" vertical="center" wrapText="1"/>
    </xf>
    <xf numFmtId="49" fontId="69" fillId="0" borderId="36" xfId="0" applyNumberFormat="1" applyFont="1" applyBorder="1" applyAlignment="1">
      <alignment horizontal="center" vertical="center" wrapText="1"/>
    </xf>
  </cellXfs>
  <cellStyles count="27">
    <cellStyle name="Normal" xfId="11" xr:uid="{00000000-0005-0000-0000-000000000000}"/>
    <cellStyle name="Normal 2" xfId="6" xr:uid="{00000000-0005-0000-0000-000001000000}"/>
    <cellStyle name="Normal 2 2" xfId="2" xr:uid="{00000000-0005-0000-0000-000002000000}"/>
    <cellStyle name="常规" xfId="0" builtinId="0"/>
    <cellStyle name="常规 10" xfId="9" xr:uid="{00000000-0005-0000-0000-000004000000}"/>
    <cellStyle name="常规 11" xfId="13" xr:uid="{00000000-0005-0000-0000-000005000000}"/>
    <cellStyle name="常规 2" xfId="14" xr:uid="{00000000-0005-0000-0000-000006000000}"/>
    <cellStyle name="常规 2 2" xfId="7" xr:uid="{00000000-0005-0000-0000-000007000000}"/>
    <cellStyle name="常规 2 2 2" xfId="5" xr:uid="{00000000-0005-0000-0000-000008000000}"/>
    <cellStyle name="常规 2 3" xfId="8" xr:uid="{00000000-0005-0000-0000-000009000000}"/>
    <cellStyle name="常规 2 3 2" xfId="10" xr:uid="{00000000-0005-0000-0000-00000A000000}"/>
    <cellStyle name="常规 2 4" xfId="12" xr:uid="{00000000-0005-0000-0000-00000B000000}"/>
    <cellStyle name="常规 2 4 2" xfId="15" xr:uid="{00000000-0005-0000-0000-00000C000000}"/>
    <cellStyle name="常规 3" xfId="16" xr:uid="{00000000-0005-0000-0000-00000D000000}"/>
    <cellStyle name="常规 4" xfId="17" xr:uid="{00000000-0005-0000-0000-00000E000000}"/>
    <cellStyle name="常规 4 2" xfId="18" xr:uid="{00000000-0005-0000-0000-00000F000000}"/>
    <cellStyle name="常规 5" xfId="19" xr:uid="{00000000-0005-0000-0000-000010000000}"/>
    <cellStyle name="常规 6" xfId="1" xr:uid="{00000000-0005-0000-0000-000011000000}"/>
    <cellStyle name="常规 7" xfId="20" xr:uid="{00000000-0005-0000-0000-000012000000}"/>
    <cellStyle name="常规 7 2" xfId="21" xr:uid="{00000000-0005-0000-0000-000013000000}"/>
    <cellStyle name="常规 8" xfId="22" xr:uid="{00000000-0005-0000-0000-000014000000}"/>
    <cellStyle name="常规 8 2" xfId="4" xr:uid="{00000000-0005-0000-0000-000015000000}"/>
    <cellStyle name="常规 8 2 2" xfId="23" xr:uid="{00000000-0005-0000-0000-000016000000}"/>
    <cellStyle name="常规 8 3" xfId="3" xr:uid="{00000000-0005-0000-0000-000017000000}"/>
    <cellStyle name="常规 8 3 2" xfId="24" xr:uid="{00000000-0005-0000-0000-000018000000}"/>
    <cellStyle name="常规 9" xfId="25" xr:uid="{00000000-0005-0000-0000-000019000000}"/>
    <cellStyle name="常规 9 2" xfId="26" xr:uid="{00000000-0005-0000-0000-00001A000000}"/>
  </cellStyles>
  <dxfs count="35">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rgb="FFFFFF00"/>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4"/>
  <sheetViews>
    <sheetView zoomScale="85" zoomScaleNormal="85" workbookViewId="0">
      <pane xSplit="3" ySplit="4" topLeftCell="D5" activePane="bottomRight" state="frozen"/>
      <selection pane="topRight" activeCell="D1" sqref="D1"/>
      <selection pane="bottomLeft" activeCell="A5" sqref="A5"/>
      <selection pane="bottomRight" activeCell="O73" sqref="O73"/>
    </sheetView>
  </sheetViews>
  <sheetFormatPr defaultColWidth="9.140625" defaultRowHeight="24.95" customHeight="1" x14ac:dyDescent="0.2"/>
  <cols>
    <col min="1" max="1" width="3.7109375" style="90" customWidth="1"/>
    <col min="2" max="2" width="50.7109375" style="309" customWidth="1"/>
    <col min="3" max="3" width="25.7109375" style="309" customWidth="1"/>
    <col min="4" max="4" width="15.7109375" style="92" customWidth="1"/>
    <col min="5" max="5" width="12.5703125" style="92" customWidth="1"/>
    <col min="6" max="6" width="8.7109375" style="90" customWidth="1"/>
    <col min="7" max="7" width="10.7109375" style="93" customWidth="1"/>
    <col min="8" max="9" width="8.7109375" style="93" customWidth="1"/>
    <col min="10" max="19" width="15.7109375" style="98" customWidth="1"/>
    <col min="20" max="20" width="15.7109375" style="115" customWidth="1"/>
    <col min="21" max="21" width="15.7109375" style="98" customWidth="1"/>
    <col min="22" max="22" width="15.7109375" style="99" customWidth="1"/>
    <col min="23" max="23" width="15.7109375" style="143" customWidth="1"/>
    <col min="24" max="25" width="15.7109375" style="98" customWidth="1"/>
    <col min="26" max="27" width="10.7109375" style="196" customWidth="1"/>
    <col min="28" max="28" width="15.7109375" style="197" customWidth="1"/>
    <col min="29" max="30" width="15.7109375" style="98" customWidth="1"/>
    <col min="31" max="31" width="15.7109375" style="147" customWidth="1"/>
    <col min="32" max="32" width="20.7109375" style="92" customWidth="1"/>
    <col min="33" max="34" width="10.7109375" style="254" customWidth="1"/>
    <col min="35" max="35" width="12.85546875" style="90" customWidth="1"/>
    <col min="36" max="36" width="9.42578125" style="90" customWidth="1"/>
    <col min="37" max="16384" width="9.140625" style="90"/>
  </cols>
  <sheetData>
    <row r="1" spans="1:34" ht="24.95" customHeight="1" thickBot="1" x14ac:dyDescent="0.25">
      <c r="A1" s="417" t="s">
        <v>0</v>
      </c>
      <c r="B1" s="418"/>
      <c r="C1" s="418"/>
      <c r="D1" s="419"/>
      <c r="E1" s="418"/>
      <c r="F1" s="418"/>
      <c r="G1" s="418"/>
      <c r="H1" s="418"/>
      <c r="I1" s="418"/>
      <c r="J1" s="418"/>
      <c r="K1" s="418"/>
      <c r="L1" s="418"/>
      <c r="M1" s="418"/>
      <c r="N1" s="418"/>
      <c r="O1" s="418"/>
      <c r="P1" s="418"/>
      <c r="Q1" s="418"/>
      <c r="R1" s="418"/>
      <c r="S1" s="418"/>
      <c r="T1" s="418"/>
      <c r="U1" s="418"/>
      <c r="V1" s="418"/>
      <c r="W1" s="418"/>
      <c r="X1" s="418"/>
      <c r="Y1" s="418"/>
      <c r="Z1" s="418"/>
      <c r="AA1" s="418"/>
      <c r="AB1" s="418"/>
      <c r="AC1" s="418"/>
      <c r="AD1" s="418"/>
      <c r="AE1" s="418"/>
      <c r="AF1" s="418"/>
      <c r="AG1" s="328"/>
      <c r="AH1" s="328"/>
    </row>
    <row r="2" spans="1:34" ht="24.95" customHeight="1" x14ac:dyDescent="0.2">
      <c r="A2" s="433" t="s">
        <v>1</v>
      </c>
      <c r="B2" s="420" t="s">
        <v>2</v>
      </c>
      <c r="C2" s="421"/>
      <c r="D2" s="421"/>
      <c r="E2" s="446" t="s">
        <v>650</v>
      </c>
      <c r="F2" s="446"/>
      <c r="G2" s="446"/>
      <c r="H2" s="446"/>
      <c r="I2" s="447"/>
      <c r="J2" s="409" t="s">
        <v>653</v>
      </c>
      <c r="K2" s="405"/>
      <c r="L2" s="405"/>
      <c r="M2" s="405" t="s">
        <v>649</v>
      </c>
      <c r="N2" s="405"/>
      <c r="O2" s="406"/>
      <c r="P2" s="398" t="s">
        <v>665</v>
      </c>
      <c r="Q2" s="399"/>
      <c r="R2" s="399"/>
      <c r="S2" s="399"/>
      <c r="T2" s="399"/>
      <c r="U2" s="399"/>
      <c r="V2" s="400"/>
      <c r="W2" s="437" t="s">
        <v>667</v>
      </c>
      <c r="X2" s="438"/>
      <c r="Y2" s="438"/>
      <c r="Z2" s="438"/>
      <c r="AA2" s="438"/>
      <c r="AB2" s="438"/>
      <c r="AC2" s="438"/>
      <c r="AD2" s="438"/>
      <c r="AE2" s="439"/>
      <c r="AF2" s="422" t="s">
        <v>8</v>
      </c>
      <c r="AG2" s="485"/>
      <c r="AH2" s="328"/>
    </row>
    <row r="3" spans="1:34" ht="24.95" customHeight="1" x14ac:dyDescent="0.2">
      <c r="A3" s="433"/>
      <c r="B3" s="456" t="s">
        <v>9</v>
      </c>
      <c r="C3" s="427" t="s">
        <v>10</v>
      </c>
      <c r="D3" s="427" t="s">
        <v>11</v>
      </c>
      <c r="E3" s="427" t="s">
        <v>651</v>
      </c>
      <c r="F3" s="427" t="s">
        <v>13</v>
      </c>
      <c r="G3" s="429" t="s">
        <v>14</v>
      </c>
      <c r="H3" s="466" t="s">
        <v>15</v>
      </c>
      <c r="I3" s="431" t="s">
        <v>16</v>
      </c>
      <c r="J3" s="473" t="s">
        <v>17</v>
      </c>
      <c r="K3" s="407" t="s">
        <v>18</v>
      </c>
      <c r="L3" s="407" t="s">
        <v>648</v>
      </c>
      <c r="M3" s="407" t="s">
        <v>17</v>
      </c>
      <c r="N3" s="407" t="s">
        <v>18</v>
      </c>
      <c r="O3" s="444" t="s">
        <v>648</v>
      </c>
      <c r="P3" s="403" t="s">
        <v>655</v>
      </c>
      <c r="Q3" s="404"/>
      <c r="R3" s="404"/>
      <c r="S3" s="404"/>
      <c r="T3" s="401" t="s">
        <v>656</v>
      </c>
      <c r="U3" s="442"/>
      <c r="V3" s="443"/>
      <c r="W3" s="434" t="s">
        <v>660</v>
      </c>
      <c r="X3" s="425" t="s">
        <v>668</v>
      </c>
      <c r="Y3" s="426"/>
      <c r="Z3" s="436" t="s">
        <v>658</v>
      </c>
      <c r="AA3" s="436"/>
      <c r="AB3" s="436"/>
      <c r="AC3" s="436"/>
      <c r="AD3" s="436"/>
      <c r="AE3" s="440" t="s">
        <v>661</v>
      </c>
      <c r="AF3" s="423"/>
      <c r="AG3" s="485"/>
      <c r="AH3" s="328"/>
    </row>
    <row r="4" spans="1:34" ht="24.95" customHeight="1" thickBot="1" x14ac:dyDescent="0.25">
      <c r="A4" s="433"/>
      <c r="B4" s="457"/>
      <c r="C4" s="428"/>
      <c r="D4" s="428"/>
      <c r="E4" s="428"/>
      <c r="F4" s="428"/>
      <c r="G4" s="430"/>
      <c r="H4" s="467"/>
      <c r="I4" s="432"/>
      <c r="J4" s="474"/>
      <c r="K4" s="408"/>
      <c r="L4" s="408"/>
      <c r="M4" s="408"/>
      <c r="N4" s="408"/>
      <c r="O4" s="445"/>
      <c r="P4" s="110" t="s">
        <v>17</v>
      </c>
      <c r="Q4" s="69" t="s">
        <v>18</v>
      </c>
      <c r="R4" s="69" t="s">
        <v>648</v>
      </c>
      <c r="S4" s="69" t="s">
        <v>657</v>
      </c>
      <c r="T4" s="402"/>
      <c r="U4" s="69" t="s">
        <v>19</v>
      </c>
      <c r="V4" s="106" t="s">
        <v>659</v>
      </c>
      <c r="W4" s="435"/>
      <c r="X4" s="107" t="s">
        <v>666</v>
      </c>
      <c r="Y4" s="107" t="s">
        <v>20</v>
      </c>
      <c r="Z4" s="112" t="s">
        <v>21</v>
      </c>
      <c r="AA4" s="112" t="s">
        <v>22</v>
      </c>
      <c r="AB4" s="107" t="s">
        <v>23</v>
      </c>
      <c r="AC4" s="107" t="s">
        <v>24</v>
      </c>
      <c r="AD4" s="107" t="s">
        <v>25</v>
      </c>
      <c r="AE4" s="441"/>
      <c r="AF4" s="424"/>
      <c r="AG4" s="485"/>
      <c r="AH4" s="328"/>
    </row>
    <row r="5" spans="1:34" s="91" customFormat="1" ht="24.95" customHeight="1" x14ac:dyDescent="0.2">
      <c r="A5" s="448">
        <v>1</v>
      </c>
      <c r="B5" s="458" t="s">
        <v>26</v>
      </c>
      <c r="C5" s="364" t="s">
        <v>27</v>
      </c>
      <c r="D5" s="364" t="s">
        <v>28</v>
      </c>
      <c r="E5" s="364" t="s">
        <v>29</v>
      </c>
      <c r="F5" s="463" t="s">
        <v>30</v>
      </c>
      <c r="G5" s="468" t="s">
        <v>31</v>
      </c>
      <c r="H5" s="468" t="s">
        <v>32</v>
      </c>
      <c r="I5" s="476" t="s">
        <v>33</v>
      </c>
      <c r="J5" s="396">
        <v>744841</v>
      </c>
      <c r="K5" s="350">
        <v>304570</v>
      </c>
      <c r="L5" s="350">
        <v>0</v>
      </c>
      <c r="M5" s="350">
        <f>INT(J5*0.99)</f>
        <v>737392</v>
      </c>
      <c r="N5" s="350">
        <f t="shared" ref="N5:O5" si="0">INT(K5*0.99)</f>
        <v>301524</v>
      </c>
      <c r="O5" s="393">
        <f t="shared" si="0"/>
        <v>0</v>
      </c>
      <c r="P5" s="395">
        <f>M5</f>
        <v>737392</v>
      </c>
      <c r="Q5" s="339">
        <f>N5</f>
        <v>301524</v>
      </c>
      <c r="R5" s="339">
        <f>O5</f>
        <v>0</v>
      </c>
      <c r="S5" s="339">
        <f>P5+Q5+R5</f>
        <v>1038916</v>
      </c>
      <c r="T5" s="341">
        <f>S5</f>
        <v>1038916</v>
      </c>
      <c r="U5" s="108">
        <v>311674</v>
      </c>
      <c r="V5" s="375">
        <f>T5-U5-U6-U7</f>
        <v>0</v>
      </c>
      <c r="W5" s="378">
        <f>S5*0.8</f>
        <v>831132.8</v>
      </c>
      <c r="X5" s="100">
        <f t="shared" ref="X5:X17" si="1">U5*0.8</f>
        <v>249339.2</v>
      </c>
      <c r="Y5" s="339">
        <f>W5-X5-X6-X7</f>
        <v>0</v>
      </c>
      <c r="Z5" s="479" t="s">
        <v>34</v>
      </c>
      <c r="AA5" s="183" t="s">
        <v>35</v>
      </c>
      <c r="AB5" s="40">
        <v>76075</v>
      </c>
      <c r="AC5" s="339">
        <f>77918.7+22841.87+28018.79+16668.8</f>
        <v>145448.15999999997</v>
      </c>
      <c r="AD5" s="339">
        <f>44243.52+13273.06+15902.12+9464.82</f>
        <v>82883.51999999999</v>
      </c>
      <c r="AE5" s="480">
        <f>W5-AB5-AB6-AB7-AC5-AD5</f>
        <v>481874.12000000011</v>
      </c>
      <c r="AF5" s="487"/>
      <c r="AG5" s="328">
        <f>AC5/T5</f>
        <v>0.13999992299666189</v>
      </c>
      <c r="AH5" s="328">
        <f>AD5/W5</f>
        <v>9.9723558016239985E-2</v>
      </c>
    </row>
    <row r="6" spans="1:34" s="91" customFormat="1" ht="24.95" customHeight="1" x14ac:dyDescent="0.2">
      <c r="A6" s="448"/>
      <c r="B6" s="459"/>
      <c r="C6" s="411"/>
      <c r="D6" s="411"/>
      <c r="E6" s="411"/>
      <c r="F6" s="410"/>
      <c r="G6" s="412"/>
      <c r="H6" s="412"/>
      <c r="I6" s="470"/>
      <c r="J6" s="475"/>
      <c r="K6" s="381"/>
      <c r="L6" s="381"/>
      <c r="M6" s="381"/>
      <c r="N6" s="381"/>
      <c r="O6" s="397"/>
      <c r="P6" s="395"/>
      <c r="Q6" s="353"/>
      <c r="R6" s="353"/>
      <c r="S6" s="353"/>
      <c r="T6" s="383"/>
      <c r="U6" s="84">
        <v>415566</v>
      </c>
      <c r="V6" s="351"/>
      <c r="W6" s="360"/>
      <c r="X6" s="101">
        <f t="shared" si="1"/>
        <v>332452.80000000005</v>
      </c>
      <c r="Y6" s="353"/>
      <c r="Z6" s="361"/>
      <c r="AA6" s="184" t="s">
        <v>36</v>
      </c>
      <c r="AB6" s="42">
        <f>15*150</f>
        <v>2250</v>
      </c>
      <c r="AC6" s="353"/>
      <c r="AD6" s="353"/>
      <c r="AE6" s="481"/>
      <c r="AF6" s="488"/>
      <c r="AG6" s="328"/>
      <c r="AH6" s="328"/>
    </row>
    <row r="7" spans="1:34" s="91" customFormat="1" ht="24.95" customHeight="1" x14ac:dyDescent="0.2">
      <c r="A7" s="448"/>
      <c r="B7" s="459"/>
      <c r="C7" s="411"/>
      <c r="D7" s="411"/>
      <c r="E7" s="411"/>
      <c r="F7" s="410"/>
      <c r="G7" s="412"/>
      <c r="H7" s="412"/>
      <c r="I7" s="470"/>
      <c r="J7" s="475"/>
      <c r="K7" s="381"/>
      <c r="L7" s="381"/>
      <c r="M7" s="381"/>
      <c r="N7" s="381"/>
      <c r="O7" s="397"/>
      <c r="P7" s="396"/>
      <c r="Q7" s="353"/>
      <c r="R7" s="353"/>
      <c r="S7" s="353"/>
      <c r="T7" s="383"/>
      <c r="U7" s="84">
        <v>311676</v>
      </c>
      <c r="V7" s="351"/>
      <c r="W7" s="360"/>
      <c r="X7" s="101">
        <f t="shared" si="1"/>
        <v>249340.80000000002</v>
      </c>
      <c r="Y7" s="353"/>
      <c r="Z7" s="184" t="s">
        <v>37</v>
      </c>
      <c r="AA7" s="185" t="s">
        <v>38</v>
      </c>
      <c r="AB7" s="42">
        <v>42602</v>
      </c>
      <c r="AC7" s="353"/>
      <c r="AD7" s="353"/>
      <c r="AE7" s="481"/>
      <c r="AF7" s="488"/>
      <c r="AG7" s="328"/>
      <c r="AH7" s="328"/>
    </row>
    <row r="8" spans="1:34" s="91" customFormat="1" ht="24.95" customHeight="1" x14ac:dyDescent="0.2">
      <c r="A8" s="449">
        <v>2</v>
      </c>
      <c r="B8" s="459" t="s">
        <v>39</v>
      </c>
      <c r="C8" s="411" t="s">
        <v>40</v>
      </c>
      <c r="D8" s="411" t="s">
        <v>41</v>
      </c>
      <c r="E8" s="411" t="s">
        <v>29</v>
      </c>
      <c r="F8" s="410" t="s">
        <v>30</v>
      </c>
      <c r="G8" s="412" t="s">
        <v>31</v>
      </c>
      <c r="H8" s="412" t="s">
        <v>32</v>
      </c>
      <c r="I8" s="470" t="s">
        <v>33</v>
      </c>
      <c r="J8" s="475">
        <v>632486</v>
      </c>
      <c r="K8" s="381">
        <v>187280</v>
      </c>
      <c r="L8" s="381">
        <v>0</v>
      </c>
      <c r="M8" s="381">
        <v>624894</v>
      </c>
      <c r="N8" s="381">
        <v>185407</v>
      </c>
      <c r="O8" s="397">
        <f t="shared" ref="O8" si="2">INT(L8*0.99)</f>
        <v>0</v>
      </c>
      <c r="P8" s="394">
        <f>M8</f>
        <v>624894</v>
      </c>
      <c r="Q8" s="353">
        <f t="shared" ref="Q8" si="3">N8</f>
        <v>185407</v>
      </c>
      <c r="R8" s="353">
        <f t="shared" ref="R8" si="4">O8</f>
        <v>0</v>
      </c>
      <c r="S8" s="353">
        <f t="shared" ref="S8" si="5">P8+Q8+R8</f>
        <v>810301</v>
      </c>
      <c r="T8" s="383">
        <f t="shared" ref="T8" si="6">S8</f>
        <v>810301</v>
      </c>
      <c r="U8" s="84">
        <v>243470</v>
      </c>
      <c r="V8" s="351">
        <f>S8-U8-U9-U10</f>
        <v>0</v>
      </c>
      <c r="W8" s="360">
        <f>S8*0.8</f>
        <v>648240.80000000005</v>
      </c>
      <c r="X8" s="101">
        <f t="shared" si="1"/>
        <v>194776</v>
      </c>
      <c r="Y8" s="353">
        <f>W8-X8-X9-X10</f>
        <v>0</v>
      </c>
      <c r="Z8" s="184" t="s">
        <v>42</v>
      </c>
      <c r="AA8" s="184" t="s">
        <v>43</v>
      </c>
      <c r="AB8" s="42">
        <v>46500</v>
      </c>
      <c r="AC8" s="353">
        <f>60867.6+3233.13+49518.75</f>
        <v>113619.48</v>
      </c>
      <c r="AD8" s="353">
        <f>37569.66+2003.72+30567.13</f>
        <v>70140.510000000009</v>
      </c>
      <c r="AE8" s="481">
        <f>W8-AB8-AB9-AB10-AC8-AD8</f>
        <v>385820.81000000006</v>
      </c>
      <c r="AF8" s="489"/>
      <c r="AG8" s="328">
        <f>AC8/T8</f>
        <v>0.14021885694328404</v>
      </c>
      <c r="AH8" s="328">
        <f>AD8/W8</f>
        <v>0.10820131963307462</v>
      </c>
    </row>
    <row r="9" spans="1:34" s="91" customFormat="1" ht="24.95" customHeight="1" x14ac:dyDescent="0.2">
      <c r="A9" s="449"/>
      <c r="B9" s="459"/>
      <c r="C9" s="411"/>
      <c r="D9" s="411"/>
      <c r="E9" s="411"/>
      <c r="F9" s="410"/>
      <c r="G9" s="412"/>
      <c r="H9" s="412"/>
      <c r="I9" s="470"/>
      <c r="J9" s="475"/>
      <c r="K9" s="381"/>
      <c r="L9" s="381"/>
      <c r="M9" s="381"/>
      <c r="N9" s="381"/>
      <c r="O9" s="397"/>
      <c r="P9" s="395"/>
      <c r="Q9" s="353"/>
      <c r="R9" s="353"/>
      <c r="S9" s="353"/>
      <c r="T9" s="383"/>
      <c r="U9" s="84">
        <v>324627</v>
      </c>
      <c r="V9" s="351"/>
      <c r="W9" s="360"/>
      <c r="X9" s="101">
        <f t="shared" si="1"/>
        <v>259701.6</v>
      </c>
      <c r="Y9" s="353"/>
      <c r="Z9" s="184" t="s">
        <v>42</v>
      </c>
      <c r="AA9" s="184" t="s">
        <v>36</v>
      </c>
      <c r="AB9" s="42">
        <f>16*150</f>
        <v>2400</v>
      </c>
      <c r="AC9" s="353"/>
      <c r="AD9" s="353"/>
      <c r="AE9" s="481"/>
      <c r="AF9" s="489"/>
      <c r="AG9" s="328"/>
      <c r="AH9" s="328"/>
    </row>
    <row r="10" spans="1:34" s="91" customFormat="1" ht="24.95" customHeight="1" x14ac:dyDescent="0.2">
      <c r="A10" s="449"/>
      <c r="B10" s="459"/>
      <c r="C10" s="411"/>
      <c r="D10" s="411"/>
      <c r="E10" s="411"/>
      <c r="F10" s="410"/>
      <c r="G10" s="412"/>
      <c r="H10" s="412"/>
      <c r="I10" s="470"/>
      <c r="J10" s="475"/>
      <c r="K10" s="381"/>
      <c r="L10" s="381"/>
      <c r="M10" s="381"/>
      <c r="N10" s="381"/>
      <c r="O10" s="397"/>
      <c r="P10" s="396"/>
      <c r="Q10" s="353"/>
      <c r="R10" s="353"/>
      <c r="S10" s="353"/>
      <c r="T10" s="383"/>
      <c r="U10" s="84">
        <v>242204</v>
      </c>
      <c r="V10" s="351"/>
      <c r="W10" s="360"/>
      <c r="X10" s="101">
        <f t="shared" si="1"/>
        <v>193763.20000000001</v>
      </c>
      <c r="Y10" s="353"/>
      <c r="Z10" s="184" t="s">
        <v>37</v>
      </c>
      <c r="AA10" s="184" t="s">
        <v>38</v>
      </c>
      <c r="AB10" s="42">
        <v>29760</v>
      </c>
      <c r="AC10" s="353"/>
      <c r="AD10" s="353"/>
      <c r="AE10" s="481"/>
      <c r="AF10" s="489"/>
      <c r="AG10" s="328"/>
      <c r="AH10" s="328"/>
    </row>
    <row r="11" spans="1:34" s="91" customFormat="1" ht="24.95" customHeight="1" x14ac:dyDescent="0.2">
      <c r="A11" s="449">
        <v>4</v>
      </c>
      <c r="B11" s="459" t="s">
        <v>44</v>
      </c>
      <c r="C11" s="411" t="s">
        <v>45</v>
      </c>
      <c r="D11" s="411" t="s">
        <v>46</v>
      </c>
      <c r="E11" s="411" t="s">
        <v>29</v>
      </c>
      <c r="F11" s="410" t="s">
        <v>30</v>
      </c>
      <c r="G11" s="412" t="s">
        <v>31</v>
      </c>
      <c r="H11" s="412" t="s">
        <v>33</v>
      </c>
      <c r="I11" s="470" t="s">
        <v>33</v>
      </c>
      <c r="J11" s="475">
        <v>552573.9</v>
      </c>
      <c r="K11" s="381">
        <v>59340</v>
      </c>
      <c r="L11" s="381">
        <v>0</v>
      </c>
      <c r="M11" s="381">
        <v>552573.9</v>
      </c>
      <c r="N11" s="381">
        <v>59340</v>
      </c>
      <c r="O11" s="397">
        <f t="shared" ref="O11" si="7">INT(L11*0.99)</f>
        <v>0</v>
      </c>
      <c r="P11" s="394">
        <f>M11</f>
        <v>552573.9</v>
      </c>
      <c r="Q11" s="353">
        <f t="shared" ref="Q11" si="8">N11</f>
        <v>59340</v>
      </c>
      <c r="R11" s="353">
        <f t="shared" ref="R11" si="9">O11</f>
        <v>0</v>
      </c>
      <c r="S11" s="353">
        <f t="shared" ref="S11" si="10">P11+Q11+R11</f>
        <v>611913.9</v>
      </c>
      <c r="T11" s="383">
        <f t="shared" ref="T11" si="11">S11</f>
        <v>611913.9</v>
      </c>
      <c r="U11" s="84">
        <v>183573.9</v>
      </c>
      <c r="V11" s="351">
        <f>S11-U11-U12-U13</f>
        <v>0</v>
      </c>
      <c r="W11" s="360">
        <f>S11*0.8</f>
        <v>489531.12000000005</v>
      </c>
      <c r="X11" s="101">
        <f t="shared" si="1"/>
        <v>146859.12</v>
      </c>
      <c r="Y11" s="353">
        <f>W11-X11-X12-X13</f>
        <v>0</v>
      </c>
      <c r="Z11" s="184" t="s">
        <v>34</v>
      </c>
      <c r="AA11" s="185" t="s">
        <v>35</v>
      </c>
      <c r="AB11" s="42">
        <f>50000-AB12</f>
        <v>47300</v>
      </c>
      <c r="AC11" s="353">
        <f>45893.48+39774.31</f>
        <v>85667.790000000008</v>
      </c>
      <c r="AD11" s="353">
        <f>33154.38+28733.76</f>
        <v>61888.14</v>
      </c>
      <c r="AE11" s="481">
        <f>W11-AB11-AB12-AB13-AC11-AD11</f>
        <v>277655.19000000006</v>
      </c>
      <c r="AF11" s="486"/>
      <c r="AG11" s="328">
        <f>AC11/T11</f>
        <v>0.13999974506217297</v>
      </c>
      <c r="AH11" s="328">
        <f>AD11/W11</f>
        <v>0.12642330072907315</v>
      </c>
    </row>
    <row r="12" spans="1:34" s="91" customFormat="1" ht="24.95" customHeight="1" x14ac:dyDescent="0.2">
      <c r="A12" s="449"/>
      <c r="B12" s="459"/>
      <c r="C12" s="411"/>
      <c r="D12" s="411"/>
      <c r="E12" s="411"/>
      <c r="F12" s="410"/>
      <c r="G12" s="412"/>
      <c r="H12" s="412"/>
      <c r="I12" s="470"/>
      <c r="J12" s="475"/>
      <c r="K12" s="381"/>
      <c r="L12" s="381"/>
      <c r="M12" s="381"/>
      <c r="N12" s="381"/>
      <c r="O12" s="397"/>
      <c r="P12" s="395"/>
      <c r="Q12" s="353"/>
      <c r="R12" s="353"/>
      <c r="S12" s="353"/>
      <c r="T12" s="383"/>
      <c r="U12" s="84">
        <v>244765</v>
      </c>
      <c r="V12" s="351"/>
      <c r="W12" s="360"/>
      <c r="X12" s="101">
        <f t="shared" si="1"/>
        <v>195812</v>
      </c>
      <c r="Y12" s="353"/>
      <c r="Z12" s="184" t="s">
        <v>34</v>
      </c>
      <c r="AA12" s="185" t="s">
        <v>36</v>
      </c>
      <c r="AB12" s="42">
        <f>18*150</f>
        <v>2700</v>
      </c>
      <c r="AC12" s="353"/>
      <c r="AD12" s="353"/>
      <c r="AE12" s="481"/>
      <c r="AF12" s="486"/>
      <c r="AG12" s="328"/>
      <c r="AH12" s="328"/>
    </row>
    <row r="13" spans="1:34" s="91" customFormat="1" ht="24.95" customHeight="1" x14ac:dyDescent="0.2">
      <c r="A13" s="449"/>
      <c r="B13" s="459"/>
      <c r="C13" s="411"/>
      <c r="D13" s="411"/>
      <c r="E13" s="411"/>
      <c r="F13" s="410"/>
      <c r="G13" s="412"/>
      <c r="H13" s="412"/>
      <c r="I13" s="470"/>
      <c r="J13" s="475"/>
      <c r="K13" s="381"/>
      <c r="L13" s="381"/>
      <c r="M13" s="381"/>
      <c r="N13" s="381"/>
      <c r="O13" s="397"/>
      <c r="P13" s="396"/>
      <c r="Q13" s="353"/>
      <c r="R13" s="353"/>
      <c r="S13" s="353"/>
      <c r="T13" s="383"/>
      <c r="U13" s="84">
        <v>183575</v>
      </c>
      <c r="V13" s="351"/>
      <c r="W13" s="360"/>
      <c r="X13" s="101">
        <f t="shared" si="1"/>
        <v>146860</v>
      </c>
      <c r="Y13" s="353"/>
      <c r="Z13" s="184" t="s">
        <v>37</v>
      </c>
      <c r="AA13" s="185" t="s">
        <v>38</v>
      </c>
      <c r="AB13" s="42">
        <v>14320</v>
      </c>
      <c r="AC13" s="353"/>
      <c r="AD13" s="353"/>
      <c r="AE13" s="481"/>
      <c r="AF13" s="486"/>
      <c r="AG13" s="328"/>
      <c r="AH13" s="328"/>
    </row>
    <row r="14" spans="1:34" s="91" customFormat="1" ht="24.95" customHeight="1" x14ac:dyDescent="0.2">
      <c r="A14" s="449">
        <v>6</v>
      </c>
      <c r="B14" s="459" t="s">
        <v>50</v>
      </c>
      <c r="C14" s="411" t="s">
        <v>51</v>
      </c>
      <c r="D14" s="411" t="s">
        <v>52</v>
      </c>
      <c r="E14" s="411" t="s">
        <v>47</v>
      </c>
      <c r="F14" s="410" t="s">
        <v>48</v>
      </c>
      <c r="G14" s="412" t="s">
        <v>49</v>
      </c>
      <c r="H14" s="412" t="s">
        <v>32</v>
      </c>
      <c r="I14" s="470" t="s">
        <v>33</v>
      </c>
      <c r="J14" s="475">
        <v>449664</v>
      </c>
      <c r="K14" s="381">
        <v>213100</v>
      </c>
      <c r="L14" s="381">
        <v>0</v>
      </c>
      <c r="M14" s="349">
        <v>445167</v>
      </c>
      <c r="N14" s="349">
        <v>210969</v>
      </c>
      <c r="O14" s="391">
        <v>0</v>
      </c>
      <c r="P14" s="394">
        <f>M14</f>
        <v>445167</v>
      </c>
      <c r="Q14" s="353">
        <f t="shared" ref="Q14" si="12">N14</f>
        <v>210969</v>
      </c>
      <c r="R14" s="353">
        <f t="shared" ref="R14" si="13">O14</f>
        <v>0</v>
      </c>
      <c r="S14" s="353">
        <f t="shared" ref="S14" si="14">P14+Q14+R14</f>
        <v>656136</v>
      </c>
      <c r="T14" s="383">
        <f t="shared" ref="T14" si="15">S14</f>
        <v>656136</v>
      </c>
      <c r="U14" s="84">
        <v>411294</v>
      </c>
      <c r="V14" s="351">
        <f>S14-U14-U15-U16</f>
        <v>0</v>
      </c>
      <c r="W14" s="360">
        <f>S14*0.8</f>
        <v>524908.80000000005</v>
      </c>
      <c r="X14" s="101">
        <f t="shared" si="1"/>
        <v>329035.2</v>
      </c>
      <c r="Y14" s="353">
        <f>W14-X14-X15-X16</f>
        <v>0</v>
      </c>
      <c r="Z14" s="361" t="s">
        <v>34</v>
      </c>
      <c r="AA14" s="185" t="s">
        <v>35</v>
      </c>
      <c r="AB14" s="42">
        <f>20.11*2500</f>
        <v>50275</v>
      </c>
      <c r="AC14" s="353">
        <f>12465.8+49210.2+42488.05+18159.75+10450</f>
        <v>132773.79999999999</v>
      </c>
      <c r="AD14" s="353">
        <f>6980.85+27557.71+23113.5+9793.67+2840.18</f>
        <v>70285.909999999989</v>
      </c>
      <c r="AE14" s="481">
        <f>W14-AB14-AB15-AB16-AC14-AD14</f>
        <v>253086.09000000008</v>
      </c>
      <c r="AF14" s="486"/>
      <c r="AG14" s="328">
        <f>AC14/T14</f>
        <v>0.20235713327724739</v>
      </c>
      <c r="AH14" s="328">
        <f>AD14/W14</f>
        <v>0.13390118435812084</v>
      </c>
    </row>
    <row r="15" spans="1:34" s="91" customFormat="1" ht="24.95" customHeight="1" x14ac:dyDescent="0.2">
      <c r="A15" s="449"/>
      <c r="B15" s="459"/>
      <c r="C15" s="411"/>
      <c r="D15" s="411"/>
      <c r="E15" s="411"/>
      <c r="F15" s="410"/>
      <c r="G15" s="412"/>
      <c r="H15" s="412"/>
      <c r="I15" s="470"/>
      <c r="J15" s="475"/>
      <c r="K15" s="381"/>
      <c r="L15" s="381"/>
      <c r="M15" s="382"/>
      <c r="N15" s="382"/>
      <c r="O15" s="392"/>
      <c r="P15" s="395"/>
      <c r="Q15" s="353"/>
      <c r="R15" s="353"/>
      <c r="S15" s="353"/>
      <c r="T15" s="383"/>
      <c r="U15" s="84">
        <v>200325</v>
      </c>
      <c r="V15" s="351"/>
      <c r="W15" s="360"/>
      <c r="X15" s="101">
        <f t="shared" si="1"/>
        <v>160260</v>
      </c>
      <c r="Y15" s="353"/>
      <c r="Z15" s="361"/>
      <c r="AA15" s="185" t="s">
        <v>36</v>
      </c>
      <c r="AB15" s="42">
        <f>16*150</f>
        <v>2400</v>
      </c>
      <c r="AC15" s="353"/>
      <c r="AD15" s="353"/>
      <c r="AE15" s="481"/>
      <c r="AF15" s="486"/>
      <c r="AG15" s="328"/>
      <c r="AH15" s="328"/>
    </row>
    <row r="16" spans="1:34" s="91" customFormat="1" ht="24.95" customHeight="1" x14ac:dyDescent="0.2">
      <c r="A16" s="449"/>
      <c r="B16" s="459"/>
      <c r="C16" s="411"/>
      <c r="D16" s="411"/>
      <c r="E16" s="411"/>
      <c r="F16" s="410"/>
      <c r="G16" s="412"/>
      <c r="H16" s="412"/>
      <c r="I16" s="470"/>
      <c r="J16" s="475"/>
      <c r="K16" s="381"/>
      <c r="L16" s="381"/>
      <c r="M16" s="350"/>
      <c r="N16" s="350"/>
      <c r="O16" s="393"/>
      <c r="P16" s="396"/>
      <c r="Q16" s="353"/>
      <c r="R16" s="353"/>
      <c r="S16" s="353"/>
      <c r="T16" s="383"/>
      <c r="U16" s="84">
        <v>44517</v>
      </c>
      <c r="V16" s="351"/>
      <c r="W16" s="360"/>
      <c r="X16" s="101">
        <f t="shared" si="1"/>
        <v>35613.599999999999</v>
      </c>
      <c r="Y16" s="353"/>
      <c r="Z16" s="184" t="s">
        <v>37</v>
      </c>
      <c r="AA16" s="185" t="s">
        <v>38</v>
      </c>
      <c r="AB16" s="42">
        <f>20.11*800</f>
        <v>16088</v>
      </c>
      <c r="AC16" s="353"/>
      <c r="AD16" s="353"/>
      <c r="AE16" s="481"/>
      <c r="AF16" s="486"/>
      <c r="AG16" s="328"/>
      <c r="AH16" s="328"/>
    </row>
    <row r="17" spans="1:36" s="91" customFormat="1" ht="24.95" customHeight="1" x14ac:dyDescent="0.2">
      <c r="A17" s="449">
        <v>7</v>
      </c>
      <c r="B17" s="459" t="s">
        <v>53</v>
      </c>
      <c r="C17" s="411" t="s">
        <v>54</v>
      </c>
      <c r="D17" s="411" t="s">
        <v>55</v>
      </c>
      <c r="E17" s="411" t="s">
        <v>56</v>
      </c>
      <c r="F17" s="410" t="s">
        <v>57</v>
      </c>
      <c r="G17" s="412" t="s">
        <v>58</v>
      </c>
      <c r="H17" s="412" t="s">
        <v>33</v>
      </c>
      <c r="I17" s="470" t="s">
        <v>33</v>
      </c>
      <c r="J17" s="475">
        <v>623024</v>
      </c>
      <c r="K17" s="381">
        <v>94960</v>
      </c>
      <c r="L17" s="349">
        <v>0</v>
      </c>
      <c r="M17" s="349">
        <v>199017</v>
      </c>
      <c r="N17" s="349">
        <v>48000</v>
      </c>
      <c r="O17" s="391">
        <v>0</v>
      </c>
      <c r="P17" s="394">
        <f>M17</f>
        <v>199017</v>
      </c>
      <c r="Q17" s="353">
        <f>N17</f>
        <v>48000</v>
      </c>
      <c r="R17" s="353">
        <f>O17</f>
        <v>0</v>
      </c>
      <c r="S17" s="353">
        <f>P17+Q17+R17</f>
        <v>247017</v>
      </c>
      <c r="T17" s="340">
        <f>S17</f>
        <v>247017</v>
      </c>
      <c r="U17" s="353">
        <v>247017</v>
      </c>
      <c r="V17" s="351">
        <f>T17-U17</f>
        <v>0</v>
      </c>
      <c r="W17" s="360">
        <f>S17*0.8</f>
        <v>197613.6</v>
      </c>
      <c r="X17" s="353">
        <f t="shared" si="1"/>
        <v>197613.6</v>
      </c>
      <c r="Y17" s="353">
        <f>W17-X17</f>
        <v>0</v>
      </c>
      <c r="Z17" s="361" t="s">
        <v>34</v>
      </c>
      <c r="AA17" s="185" t="s">
        <v>35</v>
      </c>
      <c r="AB17" s="42">
        <f>6*2500</f>
        <v>15000</v>
      </c>
      <c r="AC17" s="353">
        <f>61754.25</f>
        <v>61754.25</v>
      </c>
      <c r="AD17" s="353">
        <f>31842.72</f>
        <v>31842.720000000001</v>
      </c>
      <c r="AE17" s="481">
        <f>W17-AB17-AB18-AB19-AC17-AD17</f>
        <v>78000.63</v>
      </c>
      <c r="AF17" s="486"/>
      <c r="AG17" s="328">
        <f>AC17/T17</f>
        <v>0.25</v>
      </c>
      <c r="AH17" s="328">
        <f>AD17/W17</f>
        <v>0.16113627806993042</v>
      </c>
    </row>
    <row r="18" spans="1:36" s="91" customFormat="1" ht="24.95" customHeight="1" x14ac:dyDescent="0.2">
      <c r="A18" s="449"/>
      <c r="B18" s="459"/>
      <c r="C18" s="411"/>
      <c r="D18" s="411"/>
      <c r="E18" s="411"/>
      <c r="F18" s="410"/>
      <c r="G18" s="412"/>
      <c r="H18" s="412"/>
      <c r="I18" s="470"/>
      <c r="J18" s="475"/>
      <c r="K18" s="381"/>
      <c r="L18" s="382"/>
      <c r="M18" s="382"/>
      <c r="N18" s="382"/>
      <c r="O18" s="392"/>
      <c r="P18" s="395"/>
      <c r="Q18" s="353"/>
      <c r="R18" s="353"/>
      <c r="S18" s="353"/>
      <c r="T18" s="356"/>
      <c r="U18" s="353"/>
      <c r="V18" s="351"/>
      <c r="W18" s="360"/>
      <c r="X18" s="353"/>
      <c r="Y18" s="353"/>
      <c r="Z18" s="361"/>
      <c r="AA18" s="185" t="s">
        <v>36</v>
      </c>
      <c r="AB18" s="42">
        <f>12*150</f>
        <v>1800</v>
      </c>
      <c r="AC18" s="353"/>
      <c r="AD18" s="353"/>
      <c r="AE18" s="481"/>
      <c r="AF18" s="486"/>
      <c r="AG18" s="328"/>
      <c r="AH18" s="328"/>
      <c r="AI18" s="94"/>
      <c r="AJ18" s="94"/>
    </row>
    <row r="19" spans="1:36" s="91" customFormat="1" ht="24.95" customHeight="1" x14ac:dyDescent="0.2">
      <c r="A19" s="449"/>
      <c r="B19" s="459"/>
      <c r="C19" s="411"/>
      <c r="D19" s="411"/>
      <c r="E19" s="411"/>
      <c r="F19" s="410"/>
      <c r="G19" s="412"/>
      <c r="H19" s="412"/>
      <c r="I19" s="470"/>
      <c r="J19" s="475"/>
      <c r="K19" s="381"/>
      <c r="L19" s="382"/>
      <c r="M19" s="382"/>
      <c r="N19" s="382"/>
      <c r="O19" s="392"/>
      <c r="P19" s="395"/>
      <c r="Q19" s="353"/>
      <c r="R19" s="353"/>
      <c r="S19" s="353"/>
      <c r="T19" s="356"/>
      <c r="U19" s="353"/>
      <c r="V19" s="351"/>
      <c r="W19" s="360"/>
      <c r="X19" s="353"/>
      <c r="Y19" s="353"/>
      <c r="Z19" s="184" t="s">
        <v>37</v>
      </c>
      <c r="AA19" s="185" t="s">
        <v>38</v>
      </c>
      <c r="AB19" s="186">
        <f>5.52*800+6*800</f>
        <v>9216</v>
      </c>
      <c r="AC19" s="353"/>
      <c r="AD19" s="353"/>
      <c r="AE19" s="481"/>
      <c r="AF19" s="486"/>
      <c r="AG19" s="328"/>
      <c r="AH19" s="328"/>
    </row>
    <row r="20" spans="1:36" s="91" customFormat="1" ht="24.95" customHeight="1" x14ac:dyDescent="0.2">
      <c r="A20" s="449">
        <v>8</v>
      </c>
      <c r="B20" s="450" t="s">
        <v>59</v>
      </c>
      <c r="C20" s="411" t="s">
        <v>60</v>
      </c>
      <c r="D20" s="411" t="s">
        <v>61</v>
      </c>
      <c r="E20" s="411" t="s">
        <v>56</v>
      </c>
      <c r="F20" s="410" t="s">
        <v>57</v>
      </c>
      <c r="G20" s="412" t="s">
        <v>58</v>
      </c>
      <c r="H20" s="412" t="s">
        <v>33</v>
      </c>
      <c r="I20" s="470" t="s">
        <v>33</v>
      </c>
      <c r="J20" s="475">
        <v>783827</v>
      </c>
      <c r="K20" s="381">
        <v>105400</v>
      </c>
      <c r="L20" s="349">
        <v>0</v>
      </c>
      <c r="M20" s="349">
        <v>775989</v>
      </c>
      <c r="N20" s="349">
        <v>104346</v>
      </c>
      <c r="O20" s="391">
        <v>0</v>
      </c>
      <c r="P20" s="394">
        <f>M20</f>
        <v>775989</v>
      </c>
      <c r="Q20" s="353">
        <f>N20</f>
        <v>104346</v>
      </c>
      <c r="R20" s="353">
        <f>O20</f>
        <v>0</v>
      </c>
      <c r="S20" s="353">
        <f>P20+Q20+R20</f>
        <v>880335</v>
      </c>
      <c r="T20" s="340">
        <f>S20</f>
        <v>880335</v>
      </c>
      <c r="U20" s="84">
        <v>792301.5</v>
      </c>
      <c r="V20" s="351">
        <f>S20-U20-U21</f>
        <v>0</v>
      </c>
      <c r="W20" s="360">
        <f>S20*0.8</f>
        <v>704268</v>
      </c>
      <c r="X20" s="101">
        <f>U20*0.8</f>
        <v>633841.20000000007</v>
      </c>
      <c r="Y20" s="357">
        <f>W20-X20-X21</f>
        <v>0</v>
      </c>
      <c r="Z20" s="361" t="s">
        <v>34</v>
      </c>
      <c r="AA20" s="185" t="s">
        <v>35</v>
      </c>
      <c r="AB20" s="42">
        <v>26350</v>
      </c>
      <c r="AC20" s="353">
        <f>66025.13+66125+4699.39+5272.94+16337.85</f>
        <v>158460.31000000003</v>
      </c>
      <c r="AD20" s="354">
        <f>46559.34+46552+3103.96+3103.96+11521.06+15419.61</f>
        <v>126259.93000000001</v>
      </c>
      <c r="AE20" s="481">
        <f>W20-AB20-AB21-AB22-AC20-AD20</f>
        <v>373369.75999999995</v>
      </c>
      <c r="AF20" s="486"/>
      <c r="AG20" s="328">
        <f>AC20/T20</f>
        <v>0.18000001135931212</v>
      </c>
      <c r="AH20" s="328">
        <f>AD20/W20</f>
        <v>0.17927824350957308</v>
      </c>
    </row>
    <row r="21" spans="1:36" s="91" customFormat="1" ht="24.95" customHeight="1" x14ac:dyDescent="0.2">
      <c r="A21" s="449"/>
      <c r="B21" s="450"/>
      <c r="C21" s="411"/>
      <c r="D21" s="411"/>
      <c r="E21" s="411"/>
      <c r="F21" s="410"/>
      <c r="G21" s="412"/>
      <c r="H21" s="412"/>
      <c r="I21" s="470"/>
      <c r="J21" s="475"/>
      <c r="K21" s="381"/>
      <c r="L21" s="382"/>
      <c r="M21" s="382"/>
      <c r="N21" s="382"/>
      <c r="O21" s="392"/>
      <c r="P21" s="395"/>
      <c r="Q21" s="353"/>
      <c r="R21" s="353"/>
      <c r="S21" s="353"/>
      <c r="T21" s="356"/>
      <c r="U21" s="84">
        <v>88033.5</v>
      </c>
      <c r="V21" s="351"/>
      <c r="W21" s="360"/>
      <c r="X21" s="101">
        <f>U21*0.8</f>
        <v>70426.8</v>
      </c>
      <c r="Y21" s="384"/>
      <c r="Z21" s="361"/>
      <c r="AA21" s="185" t="s">
        <v>36</v>
      </c>
      <c r="AB21" s="42">
        <v>1950</v>
      </c>
      <c r="AC21" s="353"/>
      <c r="AD21" s="354"/>
      <c r="AE21" s="481"/>
      <c r="AF21" s="486"/>
      <c r="AG21" s="328"/>
      <c r="AH21" s="328"/>
    </row>
    <row r="22" spans="1:36" s="91" customFormat="1" ht="24.95" customHeight="1" x14ac:dyDescent="0.2">
      <c r="A22" s="449"/>
      <c r="B22" s="450"/>
      <c r="C22" s="411"/>
      <c r="D22" s="411"/>
      <c r="E22" s="411"/>
      <c r="F22" s="410"/>
      <c r="G22" s="412"/>
      <c r="H22" s="412"/>
      <c r="I22" s="470"/>
      <c r="J22" s="475"/>
      <c r="K22" s="381"/>
      <c r="L22" s="382"/>
      <c r="M22" s="382"/>
      <c r="N22" s="382"/>
      <c r="O22" s="392"/>
      <c r="P22" s="395"/>
      <c r="Q22" s="353"/>
      <c r="R22" s="353"/>
      <c r="S22" s="353"/>
      <c r="T22" s="356"/>
      <c r="U22" s="116"/>
      <c r="V22" s="351"/>
      <c r="W22" s="360"/>
      <c r="X22" s="102"/>
      <c r="Y22" s="384"/>
      <c r="Z22" s="184" t="s">
        <v>62</v>
      </c>
      <c r="AA22" s="185" t="s">
        <v>63</v>
      </c>
      <c r="AB22" s="42">
        <f>10500+7378</f>
        <v>17878</v>
      </c>
      <c r="AC22" s="353"/>
      <c r="AD22" s="354"/>
      <c r="AE22" s="481"/>
      <c r="AF22" s="486"/>
      <c r="AG22" s="328"/>
      <c r="AH22" s="328"/>
    </row>
    <row r="23" spans="1:36" s="91" customFormat="1" ht="24.95" customHeight="1" x14ac:dyDescent="0.2">
      <c r="A23" s="449">
        <v>9</v>
      </c>
      <c r="B23" s="450" t="s">
        <v>64</v>
      </c>
      <c r="C23" s="12" t="s">
        <v>65</v>
      </c>
      <c r="D23" s="411" t="s">
        <v>66</v>
      </c>
      <c r="E23" s="411" t="s">
        <v>67</v>
      </c>
      <c r="F23" s="410" t="s">
        <v>68</v>
      </c>
      <c r="G23" s="412" t="s">
        <v>69</v>
      </c>
      <c r="H23" s="412" t="s">
        <v>32</v>
      </c>
      <c r="I23" s="470" t="s">
        <v>32</v>
      </c>
      <c r="J23" s="385"/>
      <c r="K23" s="388"/>
      <c r="L23" s="388"/>
      <c r="M23" s="337">
        <v>61686.63</v>
      </c>
      <c r="N23" s="337">
        <v>0</v>
      </c>
      <c r="O23" s="346">
        <v>0</v>
      </c>
      <c r="P23" s="344">
        <v>61686.63</v>
      </c>
      <c r="Q23" s="337">
        <v>0</v>
      </c>
      <c r="R23" s="337">
        <v>0</v>
      </c>
      <c r="S23" s="357">
        <f>Q23</f>
        <v>0</v>
      </c>
      <c r="T23" s="371">
        <f>P23+Q23+R23</f>
        <v>61686.63</v>
      </c>
      <c r="U23" s="84">
        <v>61686.63</v>
      </c>
      <c r="V23" s="352">
        <f>T23-U23</f>
        <v>0</v>
      </c>
      <c r="W23" s="376">
        <f>T23*0.6</f>
        <v>37011.977999999996</v>
      </c>
      <c r="X23" s="101">
        <f>37011.98</f>
        <v>37011.980000000003</v>
      </c>
      <c r="Y23" s="365">
        <f>W23-X23</f>
        <v>-2.0000000076834112E-3</v>
      </c>
      <c r="Z23" s="187"/>
      <c r="AA23" s="188"/>
      <c r="AB23" s="189"/>
      <c r="AC23" s="355">
        <v>17484.25</v>
      </c>
      <c r="AD23" s="355">
        <f>7063.64+12588.66-12588.66-7063.64+3738.21+6662.16</f>
        <v>10400.369999999999</v>
      </c>
      <c r="AE23" s="342">
        <f>W23-AC23-AD23-AB23-AB24-AB25</f>
        <v>9127.3579999999965</v>
      </c>
      <c r="AF23" s="482"/>
      <c r="AG23" s="328">
        <f>AC23/T23</f>
        <v>0.28343662151749904</v>
      </c>
      <c r="AH23" s="328">
        <f>AD23/W23</f>
        <v>0.28100011299044869</v>
      </c>
    </row>
    <row r="24" spans="1:36" s="91" customFormat="1" ht="24.95" customHeight="1" x14ac:dyDescent="0.2">
      <c r="A24" s="449"/>
      <c r="B24" s="450"/>
      <c r="C24" s="12" t="s">
        <v>70</v>
      </c>
      <c r="D24" s="411"/>
      <c r="E24" s="411"/>
      <c r="F24" s="410"/>
      <c r="G24" s="412"/>
      <c r="H24" s="412"/>
      <c r="I24" s="470"/>
      <c r="J24" s="386"/>
      <c r="K24" s="390"/>
      <c r="L24" s="390"/>
      <c r="M24" s="359"/>
      <c r="N24" s="359"/>
      <c r="O24" s="380"/>
      <c r="P24" s="379"/>
      <c r="Q24" s="359"/>
      <c r="R24" s="359"/>
      <c r="S24" s="384"/>
      <c r="T24" s="372"/>
      <c r="U24" s="116"/>
      <c r="V24" s="374"/>
      <c r="W24" s="377"/>
      <c r="X24" s="102"/>
      <c r="Y24" s="366"/>
      <c r="Z24" s="187"/>
      <c r="AA24" s="188"/>
      <c r="AB24" s="189"/>
      <c r="AC24" s="370"/>
      <c r="AD24" s="370"/>
      <c r="AE24" s="368"/>
      <c r="AF24" s="482"/>
      <c r="AG24" s="328"/>
      <c r="AH24" s="328"/>
    </row>
    <row r="25" spans="1:36" s="91" customFormat="1" ht="24.95" customHeight="1" x14ac:dyDescent="0.2">
      <c r="A25" s="449"/>
      <c r="B25" s="450"/>
      <c r="C25" s="12" t="s">
        <v>71</v>
      </c>
      <c r="D25" s="411"/>
      <c r="E25" s="411"/>
      <c r="F25" s="410"/>
      <c r="G25" s="412"/>
      <c r="H25" s="412"/>
      <c r="I25" s="470"/>
      <c r="J25" s="387"/>
      <c r="K25" s="389"/>
      <c r="L25" s="389"/>
      <c r="M25" s="339"/>
      <c r="N25" s="339"/>
      <c r="O25" s="348"/>
      <c r="P25" s="345"/>
      <c r="Q25" s="339"/>
      <c r="R25" s="339"/>
      <c r="S25" s="358"/>
      <c r="T25" s="373"/>
      <c r="U25" s="116"/>
      <c r="V25" s="375"/>
      <c r="W25" s="378"/>
      <c r="X25" s="102"/>
      <c r="Y25" s="367"/>
      <c r="Z25" s="187"/>
      <c r="AA25" s="188"/>
      <c r="AB25" s="189"/>
      <c r="AC25" s="369"/>
      <c r="AD25" s="369"/>
      <c r="AE25" s="343"/>
      <c r="AF25" s="482"/>
      <c r="AG25" s="328"/>
      <c r="AH25" s="328"/>
    </row>
    <row r="26" spans="1:36" s="91" customFormat="1" ht="24.95" customHeight="1" x14ac:dyDescent="0.2">
      <c r="A26" s="449"/>
      <c r="B26" s="450"/>
      <c r="C26" s="411" t="s">
        <v>72</v>
      </c>
      <c r="D26" s="411"/>
      <c r="E26" s="411"/>
      <c r="F26" s="410"/>
      <c r="G26" s="412"/>
      <c r="H26" s="412"/>
      <c r="I26" s="470"/>
      <c r="J26" s="385"/>
      <c r="K26" s="388"/>
      <c r="L26" s="388"/>
      <c r="M26" s="337">
        <v>275821.71000000002</v>
      </c>
      <c r="N26" s="337">
        <v>0</v>
      </c>
      <c r="O26" s="346">
        <v>0</v>
      </c>
      <c r="P26" s="344">
        <v>275821.71000000002</v>
      </c>
      <c r="Q26" s="337">
        <v>0</v>
      </c>
      <c r="R26" s="337">
        <v>0</v>
      </c>
      <c r="S26" s="353">
        <f>P26+Q26+R26</f>
        <v>275821.71000000002</v>
      </c>
      <c r="T26" s="340">
        <f>S26</f>
        <v>275821.71000000002</v>
      </c>
      <c r="U26" s="84">
        <f>T26</f>
        <v>275821.71000000002</v>
      </c>
      <c r="V26" s="351">
        <f>T26-U26-U27</f>
        <v>0</v>
      </c>
      <c r="W26" s="360">
        <f>INT(S26*0.6)</f>
        <v>165493</v>
      </c>
      <c r="X26" s="353">
        <f>W26</f>
        <v>165493</v>
      </c>
      <c r="Y26" s="337">
        <f>W26-X26</f>
        <v>0</v>
      </c>
      <c r="Z26" s="187"/>
      <c r="AA26" s="188"/>
      <c r="AB26" s="189"/>
      <c r="AC26" s="355"/>
      <c r="AD26" s="355">
        <f>41373.26</f>
        <v>41373.26</v>
      </c>
      <c r="AE26" s="342">
        <f>W26-AB26-AB27-AC26-AD26</f>
        <v>124119.73999999999</v>
      </c>
      <c r="AF26" s="482"/>
      <c r="AG26" s="328">
        <f>AC26/T26</f>
        <v>0</v>
      </c>
      <c r="AH26" s="328">
        <f>AD26/W26</f>
        <v>0.25000006042551648</v>
      </c>
    </row>
    <row r="27" spans="1:36" s="91" customFormat="1" ht="24.95" customHeight="1" x14ac:dyDescent="0.2">
      <c r="A27" s="449"/>
      <c r="B27" s="450"/>
      <c r="C27" s="411"/>
      <c r="D27" s="411"/>
      <c r="E27" s="411"/>
      <c r="F27" s="410"/>
      <c r="G27" s="412"/>
      <c r="H27" s="412"/>
      <c r="I27" s="470"/>
      <c r="J27" s="387"/>
      <c r="K27" s="389"/>
      <c r="L27" s="389"/>
      <c r="M27" s="339"/>
      <c r="N27" s="339"/>
      <c r="O27" s="348"/>
      <c r="P27" s="345"/>
      <c r="Q27" s="339"/>
      <c r="R27" s="339"/>
      <c r="S27" s="353"/>
      <c r="T27" s="341"/>
      <c r="U27" s="116"/>
      <c r="V27" s="351"/>
      <c r="W27" s="360"/>
      <c r="X27" s="353"/>
      <c r="Y27" s="339"/>
      <c r="Z27" s="187"/>
      <c r="AA27" s="188"/>
      <c r="AB27" s="189"/>
      <c r="AC27" s="369"/>
      <c r="AD27" s="369"/>
      <c r="AE27" s="343"/>
      <c r="AF27" s="482"/>
      <c r="AG27" s="328"/>
      <c r="AH27" s="328"/>
    </row>
    <row r="28" spans="1:36" s="91" customFormat="1" ht="24.95" customHeight="1" x14ac:dyDescent="0.2">
      <c r="A28" s="449"/>
      <c r="B28" s="450" t="s">
        <v>662</v>
      </c>
      <c r="C28" s="362" t="s">
        <v>663</v>
      </c>
      <c r="D28" s="411"/>
      <c r="E28" s="411"/>
      <c r="F28" s="410"/>
      <c r="G28" s="412"/>
      <c r="H28" s="412"/>
      <c r="I28" s="470"/>
      <c r="J28" s="416">
        <v>1424700</v>
      </c>
      <c r="K28" s="353">
        <v>108300</v>
      </c>
      <c r="L28" s="337">
        <v>0</v>
      </c>
      <c r="M28" s="337">
        <v>797775.73</v>
      </c>
      <c r="N28" s="337">
        <v>0</v>
      </c>
      <c r="O28" s="346">
        <v>0</v>
      </c>
      <c r="P28" s="344">
        <v>797775.73</v>
      </c>
      <c r="Q28" s="353">
        <v>0</v>
      </c>
      <c r="R28" s="477">
        <v>0</v>
      </c>
      <c r="S28" s="353">
        <f>P28+Q28+R28</f>
        <v>797775.73</v>
      </c>
      <c r="T28" s="340">
        <f>S28</f>
        <v>797775.73</v>
      </c>
      <c r="U28" s="84">
        <f>389093.86</f>
        <v>389093.86</v>
      </c>
      <c r="V28" s="351">
        <f>T28-U28-U29-U30</f>
        <v>0</v>
      </c>
      <c r="W28" s="360">
        <f>T28*0.75</f>
        <v>598331.79749999999</v>
      </c>
      <c r="X28" s="84">
        <v>300000</v>
      </c>
      <c r="Y28" s="478">
        <f>W28-X28-X29-X30</f>
        <v>-2.5000000023283064E-3</v>
      </c>
      <c r="Z28" s="187"/>
      <c r="AA28" s="187"/>
      <c r="AB28" s="189"/>
      <c r="AC28" s="353">
        <f>90000+93300+29304.56</f>
        <v>212604.56</v>
      </c>
      <c r="AD28" s="354">
        <f>27500+60000+20256.34+45014.08+19536.37</f>
        <v>172306.78999999998</v>
      </c>
      <c r="AE28" s="481">
        <f>W28-AB28-AB29-AB30-AC28-AD28</f>
        <v>213420.44750000001</v>
      </c>
      <c r="AF28" s="482"/>
      <c r="AG28" s="328">
        <f>AC28/T28</f>
        <v>0.26649665063137479</v>
      </c>
      <c r="AH28" s="328">
        <f>AD28/W28</f>
        <v>0.28797866120427934</v>
      </c>
    </row>
    <row r="29" spans="1:36" s="91" customFormat="1" ht="24.95" customHeight="1" x14ac:dyDescent="0.2">
      <c r="A29" s="449"/>
      <c r="B29" s="450"/>
      <c r="C29" s="363"/>
      <c r="D29" s="411"/>
      <c r="E29" s="411"/>
      <c r="F29" s="410"/>
      <c r="G29" s="412"/>
      <c r="H29" s="412"/>
      <c r="I29" s="470"/>
      <c r="J29" s="416"/>
      <c r="K29" s="353"/>
      <c r="L29" s="359"/>
      <c r="M29" s="359"/>
      <c r="N29" s="359"/>
      <c r="O29" s="380"/>
      <c r="P29" s="379"/>
      <c r="Q29" s="353"/>
      <c r="R29" s="477"/>
      <c r="S29" s="353"/>
      <c r="T29" s="356"/>
      <c r="U29" s="84">
        <v>311000</v>
      </c>
      <c r="V29" s="351"/>
      <c r="W29" s="360"/>
      <c r="X29" s="84">
        <v>225070.4</v>
      </c>
      <c r="Y29" s="478"/>
      <c r="Z29" s="187"/>
      <c r="AA29" s="187"/>
      <c r="AB29" s="189"/>
      <c r="AC29" s="353"/>
      <c r="AD29" s="354"/>
      <c r="AE29" s="481"/>
      <c r="AF29" s="482"/>
      <c r="AG29" s="328"/>
      <c r="AH29" s="328"/>
    </row>
    <row r="30" spans="1:36" s="91" customFormat="1" ht="24.95" customHeight="1" x14ac:dyDescent="0.2">
      <c r="A30" s="449"/>
      <c r="B30" s="450"/>
      <c r="C30" s="364"/>
      <c r="D30" s="411"/>
      <c r="E30" s="411"/>
      <c r="F30" s="410"/>
      <c r="G30" s="412"/>
      <c r="H30" s="412"/>
      <c r="I30" s="470"/>
      <c r="J30" s="416"/>
      <c r="K30" s="353"/>
      <c r="L30" s="339"/>
      <c r="M30" s="339"/>
      <c r="N30" s="339"/>
      <c r="O30" s="348"/>
      <c r="P30" s="345"/>
      <c r="Q30" s="353"/>
      <c r="R30" s="477"/>
      <c r="S30" s="353"/>
      <c r="T30" s="341"/>
      <c r="U30" s="84">
        <v>97681.87</v>
      </c>
      <c r="V30" s="351"/>
      <c r="W30" s="360"/>
      <c r="X30" s="84">
        <v>73261.399999999994</v>
      </c>
      <c r="Y30" s="478"/>
      <c r="Z30" s="187"/>
      <c r="AA30" s="187"/>
      <c r="AB30" s="189"/>
      <c r="AC30" s="353"/>
      <c r="AD30" s="354"/>
      <c r="AE30" s="481"/>
      <c r="AF30" s="482"/>
      <c r="AG30" s="328"/>
      <c r="AH30" s="328"/>
    </row>
    <row r="31" spans="1:36" s="91" customFormat="1" ht="24.95" customHeight="1" x14ac:dyDescent="0.2">
      <c r="A31" s="123">
        <v>10</v>
      </c>
      <c r="B31" s="329" t="s">
        <v>73</v>
      </c>
      <c r="C31" s="12" t="s">
        <v>74</v>
      </c>
      <c r="D31" s="12" t="s">
        <v>75</v>
      </c>
      <c r="E31" s="12" t="s">
        <v>76</v>
      </c>
      <c r="F31" s="113"/>
      <c r="G31" s="96"/>
      <c r="H31" s="19" t="s">
        <v>77</v>
      </c>
      <c r="I31" s="111" t="s">
        <v>77</v>
      </c>
      <c r="J31" s="88">
        <v>160000</v>
      </c>
      <c r="K31" s="84">
        <v>0</v>
      </c>
      <c r="L31" s="84">
        <v>0</v>
      </c>
      <c r="M31" s="84">
        <v>160000</v>
      </c>
      <c r="N31" s="84">
        <v>0</v>
      </c>
      <c r="O31" s="103">
        <v>0</v>
      </c>
      <c r="P31" s="88">
        <v>160000</v>
      </c>
      <c r="Q31" s="84">
        <v>0</v>
      </c>
      <c r="R31" s="84">
        <v>0</v>
      </c>
      <c r="S31" s="84">
        <f>P31+Q31+R31</f>
        <v>160000</v>
      </c>
      <c r="T31" s="140">
        <f>S31</f>
        <v>160000</v>
      </c>
      <c r="U31" s="84">
        <f>J31</f>
        <v>160000</v>
      </c>
      <c r="V31" s="104">
        <f>T31-U31</f>
        <v>0</v>
      </c>
      <c r="W31" s="141">
        <f>U31*0.81</f>
        <v>129600.00000000001</v>
      </c>
      <c r="X31" s="84">
        <v>129600</v>
      </c>
      <c r="Y31" s="84">
        <f>W31-X31</f>
        <v>0</v>
      </c>
      <c r="Z31" s="184" t="s">
        <v>77</v>
      </c>
      <c r="AA31" s="184" t="s">
        <v>78</v>
      </c>
      <c r="AB31" s="42">
        <f>U31*0.75</f>
        <v>120000</v>
      </c>
      <c r="AC31" s="116"/>
      <c r="AD31" s="116"/>
      <c r="AE31" s="144">
        <f>W31-AB31</f>
        <v>9600.0000000000146</v>
      </c>
      <c r="AF31" s="133" t="s">
        <v>79</v>
      </c>
      <c r="AG31" s="328"/>
      <c r="AH31" s="328"/>
    </row>
    <row r="32" spans="1:36" s="91" customFormat="1" ht="24.95" customHeight="1" x14ac:dyDescent="0.2">
      <c r="A32" s="123">
        <v>11</v>
      </c>
      <c r="B32" s="329" t="s">
        <v>562</v>
      </c>
      <c r="C32" s="12" t="s">
        <v>80</v>
      </c>
      <c r="D32" s="12" t="s">
        <v>81</v>
      </c>
      <c r="E32" s="12" t="s">
        <v>56</v>
      </c>
      <c r="F32" s="11" t="s">
        <v>82</v>
      </c>
      <c r="G32" s="19" t="s">
        <v>83</v>
      </c>
      <c r="H32" s="19" t="s">
        <v>33</v>
      </c>
      <c r="I32" s="111" t="s">
        <v>33</v>
      </c>
      <c r="J32" s="88">
        <v>336092</v>
      </c>
      <c r="K32" s="84">
        <v>0</v>
      </c>
      <c r="L32" s="84">
        <v>0</v>
      </c>
      <c r="M32" s="84">
        <v>213641</v>
      </c>
      <c r="N32" s="84">
        <v>0</v>
      </c>
      <c r="O32" s="103">
        <v>0</v>
      </c>
      <c r="P32" s="88">
        <v>213641</v>
      </c>
      <c r="Q32" s="84">
        <v>0</v>
      </c>
      <c r="R32" s="84">
        <v>0</v>
      </c>
      <c r="S32" s="84">
        <f>P32+Q32+R32</f>
        <v>213641</v>
      </c>
      <c r="T32" s="140">
        <f>S32</f>
        <v>213641</v>
      </c>
      <c r="U32" s="84">
        <f>T32</f>
        <v>213641</v>
      </c>
      <c r="V32" s="104">
        <f>T32-U32</f>
        <v>0</v>
      </c>
      <c r="W32" s="141">
        <f>U32*0.81</f>
        <v>173049.21000000002</v>
      </c>
      <c r="X32" s="84">
        <v>173049.21</v>
      </c>
      <c r="Y32" s="84">
        <f>W32-X32</f>
        <v>0</v>
      </c>
      <c r="Z32" s="187"/>
      <c r="AA32" s="187"/>
      <c r="AB32" s="189"/>
      <c r="AC32" s="84">
        <v>53410</v>
      </c>
      <c r="AD32" s="84">
        <v>34609.839999999997</v>
      </c>
      <c r="AE32" s="144">
        <f>W32-AC32-AD32-AB32</f>
        <v>85029.370000000024</v>
      </c>
      <c r="AF32" s="133"/>
      <c r="AG32" s="328">
        <f>AC32/T32</f>
        <v>0.24999882981262961</v>
      </c>
      <c r="AH32" s="328">
        <f>AD32/W32</f>
        <v>0.19999998844259384</v>
      </c>
    </row>
    <row r="33" spans="1:34" s="91" customFormat="1" ht="24.95" customHeight="1" x14ac:dyDescent="0.2">
      <c r="A33" s="123">
        <v>12</v>
      </c>
      <c r="B33" s="329" t="s">
        <v>1004</v>
      </c>
      <c r="C33" s="12" t="s">
        <v>84</v>
      </c>
      <c r="D33" s="12" t="s">
        <v>85</v>
      </c>
      <c r="E33" s="12" t="s">
        <v>56</v>
      </c>
      <c r="F33" s="11" t="s">
        <v>82</v>
      </c>
      <c r="G33" s="19" t="s">
        <v>83</v>
      </c>
      <c r="H33" s="19" t="s">
        <v>33</v>
      </c>
      <c r="I33" s="111" t="s">
        <v>33</v>
      </c>
      <c r="J33" s="88">
        <v>147562</v>
      </c>
      <c r="K33" s="118"/>
      <c r="L33" s="118"/>
      <c r="M33" s="84">
        <v>60348</v>
      </c>
      <c r="N33" s="118"/>
      <c r="O33" s="118"/>
      <c r="P33" s="88">
        <f>M33</f>
        <v>60348</v>
      </c>
      <c r="Q33" s="118"/>
      <c r="R33" s="118"/>
      <c r="S33" s="84">
        <f>P33</f>
        <v>60348</v>
      </c>
      <c r="T33" s="140">
        <f>S33</f>
        <v>60348</v>
      </c>
      <c r="U33" s="84">
        <v>0</v>
      </c>
      <c r="V33" s="104">
        <f>T33-U33</f>
        <v>60348</v>
      </c>
      <c r="W33" s="141">
        <f>T33*0.8</f>
        <v>48278.400000000001</v>
      </c>
      <c r="X33" s="84">
        <f>W33</f>
        <v>48278.400000000001</v>
      </c>
      <c r="Y33" s="84">
        <f>W33-X33</f>
        <v>0</v>
      </c>
      <c r="Z33" s="187"/>
      <c r="AA33" s="187"/>
      <c r="AB33" s="189"/>
      <c r="AC33" s="116"/>
      <c r="AD33" s="116"/>
      <c r="AE33" s="145"/>
      <c r="AF33" s="134"/>
      <c r="AG33" s="328"/>
      <c r="AH33" s="328"/>
    </row>
    <row r="34" spans="1:34" s="91" customFormat="1" ht="24.95" customHeight="1" x14ac:dyDescent="0.2">
      <c r="A34" s="449">
        <v>14</v>
      </c>
      <c r="B34" s="459" t="s">
        <v>86</v>
      </c>
      <c r="C34" s="12" t="s">
        <v>87</v>
      </c>
      <c r="D34" s="12" t="s">
        <v>88</v>
      </c>
      <c r="E34" s="12" t="s">
        <v>89</v>
      </c>
      <c r="F34" s="113"/>
      <c r="G34" s="96"/>
      <c r="H34" s="19" t="s">
        <v>33</v>
      </c>
      <c r="I34" s="111" t="s">
        <v>33</v>
      </c>
      <c r="J34" s="88">
        <v>199344</v>
      </c>
      <c r="K34" s="117">
        <v>35280</v>
      </c>
      <c r="L34" s="117">
        <v>0</v>
      </c>
      <c r="M34" s="84">
        <v>199344</v>
      </c>
      <c r="N34" s="117">
        <v>35280</v>
      </c>
      <c r="O34" s="126">
        <v>0</v>
      </c>
      <c r="P34" s="88">
        <v>199344</v>
      </c>
      <c r="Q34" s="117">
        <v>35280</v>
      </c>
      <c r="R34" s="84">
        <v>0</v>
      </c>
      <c r="S34" s="84">
        <f>P34+Q34</f>
        <v>234624</v>
      </c>
      <c r="T34" s="140">
        <f>S34</f>
        <v>234624</v>
      </c>
      <c r="U34" s="84">
        <f>T34</f>
        <v>234624</v>
      </c>
      <c r="V34" s="104">
        <f t="shared" ref="V34:V53" si="16">T34-U34</f>
        <v>0</v>
      </c>
      <c r="W34" s="141">
        <f>U34*0.81</f>
        <v>190045.44</v>
      </c>
      <c r="X34" s="84">
        <f>W34</f>
        <v>190045.44</v>
      </c>
      <c r="Y34" s="84">
        <f t="shared" ref="Y34:Y53" si="17">W34-X34</f>
        <v>0</v>
      </c>
      <c r="Z34" s="187"/>
      <c r="AA34" s="187"/>
      <c r="AB34" s="189"/>
      <c r="AC34" s="353">
        <f>64100.5+7839.5+69391.75+33638.75</f>
        <v>174970.5</v>
      </c>
      <c r="AD34" s="353">
        <f>5471.6+39860.4+45317.4+23567</f>
        <v>114216.4</v>
      </c>
      <c r="AE34" s="481">
        <f>W34+W35+W36+W37+W38-AC34-AD34</f>
        <v>277717.52</v>
      </c>
      <c r="AF34" s="482"/>
      <c r="AG34" s="328"/>
      <c r="AH34" s="328"/>
    </row>
    <row r="35" spans="1:34" s="91" customFormat="1" ht="24.95" customHeight="1" x14ac:dyDescent="0.2">
      <c r="A35" s="449"/>
      <c r="B35" s="459"/>
      <c r="C35" s="12" t="s">
        <v>90</v>
      </c>
      <c r="D35" s="12" t="s">
        <v>88</v>
      </c>
      <c r="E35" s="12" t="s">
        <v>89</v>
      </c>
      <c r="F35" s="113"/>
      <c r="G35" s="96"/>
      <c r="H35" s="19" t="s">
        <v>33</v>
      </c>
      <c r="I35" s="111" t="s">
        <v>33</v>
      </c>
      <c r="J35" s="88">
        <v>27243</v>
      </c>
      <c r="K35" s="117">
        <v>15700</v>
      </c>
      <c r="L35" s="117">
        <v>0</v>
      </c>
      <c r="M35" s="84">
        <v>27243</v>
      </c>
      <c r="N35" s="117">
        <v>15700</v>
      </c>
      <c r="O35" s="126">
        <v>0</v>
      </c>
      <c r="P35" s="88">
        <v>27243</v>
      </c>
      <c r="Q35" s="117">
        <v>15700</v>
      </c>
      <c r="R35" s="84">
        <v>0</v>
      </c>
      <c r="S35" s="84">
        <f t="shared" ref="S35:S38" si="18">P35+Q35</f>
        <v>42943</v>
      </c>
      <c r="T35" s="140">
        <f t="shared" ref="T35:T64" si="19">S35</f>
        <v>42943</v>
      </c>
      <c r="U35" s="84">
        <f t="shared" ref="U35:U53" si="20">T35</f>
        <v>42943</v>
      </c>
      <c r="V35" s="104">
        <f t="shared" si="16"/>
        <v>0</v>
      </c>
      <c r="W35" s="141">
        <f t="shared" ref="W35:W53" si="21">U35*0.81</f>
        <v>34783.83</v>
      </c>
      <c r="X35" s="84">
        <f t="shared" ref="X35:X38" si="22">W35</f>
        <v>34783.83</v>
      </c>
      <c r="Y35" s="84">
        <f t="shared" si="17"/>
        <v>0</v>
      </c>
      <c r="Z35" s="187"/>
      <c r="AA35" s="187"/>
      <c r="AB35" s="189"/>
      <c r="AC35" s="353"/>
      <c r="AD35" s="353"/>
      <c r="AE35" s="481"/>
      <c r="AF35" s="482"/>
      <c r="AG35" s="328"/>
      <c r="AH35" s="328"/>
    </row>
    <row r="36" spans="1:34" s="91" customFormat="1" ht="24.95" customHeight="1" x14ac:dyDescent="0.2">
      <c r="A36" s="449"/>
      <c r="B36" s="459"/>
      <c r="C36" s="330" t="s">
        <v>91</v>
      </c>
      <c r="D36" s="12" t="s">
        <v>88</v>
      </c>
      <c r="E36" s="12" t="s">
        <v>89</v>
      </c>
      <c r="F36" s="113"/>
      <c r="G36" s="96"/>
      <c r="H36" s="19" t="s">
        <v>33</v>
      </c>
      <c r="I36" s="111" t="s">
        <v>33</v>
      </c>
      <c r="J36" s="88">
        <v>117835</v>
      </c>
      <c r="K36" s="117">
        <v>16720</v>
      </c>
      <c r="L36" s="117">
        <v>0</v>
      </c>
      <c r="M36" s="84">
        <v>117835</v>
      </c>
      <c r="N36" s="117">
        <v>16720</v>
      </c>
      <c r="O36" s="126">
        <v>0</v>
      </c>
      <c r="P36" s="88">
        <v>117835</v>
      </c>
      <c r="Q36" s="117">
        <v>16720</v>
      </c>
      <c r="R36" s="84">
        <v>0</v>
      </c>
      <c r="S36" s="84">
        <f t="shared" si="18"/>
        <v>134555</v>
      </c>
      <c r="T36" s="140">
        <f t="shared" si="19"/>
        <v>134555</v>
      </c>
      <c r="U36" s="84">
        <f t="shared" si="20"/>
        <v>134555</v>
      </c>
      <c r="V36" s="104">
        <f t="shared" si="16"/>
        <v>0</v>
      </c>
      <c r="W36" s="141">
        <f t="shared" si="21"/>
        <v>108989.55</v>
      </c>
      <c r="X36" s="84">
        <f t="shared" si="22"/>
        <v>108989.55</v>
      </c>
      <c r="Y36" s="84">
        <f t="shared" si="17"/>
        <v>0</v>
      </c>
      <c r="Z36" s="187"/>
      <c r="AA36" s="187"/>
      <c r="AB36" s="189"/>
      <c r="AC36" s="353"/>
      <c r="AD36" s="353"/>
      <c r="AE36" s="481"/>
      <c r="AF36" s="482"/>
      <c r="AG36" s="328"/>
      <c r="AH36" s="328"/>
    </row>
    <row r="37" spans="1:34" s="91" customFormat="1" ht="24.95" customHeight="1" x14ac:dyDescent="0.2">
      <c r="A37" s="449"/>
      <c r="B37" s="459"/>
      <c r="C37" s="12" t="s">
        <v>92</v>
      </c>
      <c r="D37" s="12" t="s">
        <v>88</v>
      </c>
      <c r="E37" s="12" t="s">
        <v>89</v>
      </c>
      <c r="F37" s="113"/>
      <c r="G37" s="96"/>
      <c r="H37" s="19" t="s">
        <v>33</v>
      </c>
      <c r="I37" s="111" t="s">
        <v>33</v>
      </c>
      <c r="J37" s="88">
        <v>199302</v>
      </c>
      <c r="K37" s="117">
        <v>57100</v>
      </c>
      <c r="L37" s="117">
        <v>0</v>
      </c>
      <c r="M37" s="84">
        <v>199302</v>
      </c>
      <c r="N37" s="117">
        <v>57100</v>
      </c>
      <c r="O37" s="126">
        <v>0</v>
      </c>
      <c r="P37" s="88">
        <v>199302</v>
      </c>
      <c r="Q37" s="117">
        <v>57100</v>
      </c>
      <c r="R37" s="84">
        <v>0</v>
      </c>
      <c r="S37" s="84">
        <f t="shared" si="18"/>
        <v>256402</v>
      </c>
      <c r="T37" s="140">
        <f t="shared" si="19"/>
        <v>256402</v>
      </c>
      <c r="U37" s="84">
        <f t="shared" si="20"/>
        <v>256402</v>
      </c>
      <c r="V37" s="104">
        <f t="shared" si="16"/>
        <v>0</v>
      </c>
      <c r="W37" s="141">
        <f t="shared" si="21"/>
        <v>207685.62000000002</v>
      </c>
      <c r="X37" s="84">
        <f t="shared" si="22"/>
        <v>207685.62000000002</v>
      </c>
      <c r="Y37" s="84">
        <f t="shared" si="17"/>
        <v>0</v>
      </c>
      <c r="Z37" s="187"/>
      <c r="AA37" s="187"/>
      <c r="AB37" s="189"/>
      <c r="AC37" s="353"/>
      <c r="AD37" s="353"/>
      <c r="AE37" s="481"/>
      <c r="AF37" s="482"/>
      <c r="AG37" s="328"/>
      <c r="AH37" s="328"/>
    </row>
    <row r="38" spans="1:34" s="91" customFormat="1" ht="24.95" customHeight="1" x14ac:dyDescent="0.2">
      <c r="A38" s="449"/>
      <c r="B38" s="459"/>
      <c r="C38" s="12" t="s">
        <v>93</v>
      </c>
      <c r="D38" s="12" t="s">
        <v>88</v>
      </c>
      <c r="E38" s="12" t="s">
        <v>89</v>
      </c>
      <c r="F38" s="113"/>
      <c r="G38" s="96"/>
      <c r="H38" s="19" t="s">
        <v>33</v>
      </c>
      <c r="I38" s="111" t="s">
        <v>33</v>
      </c>
      <c r="J38" s="88">
        <v>27358</v>
      </c>
      <c r="K38" s="117">
        <v>4000</v>
      </c>
      <c r="L38" s="117">
        <v>0</v>
      </c>
      <c r="M38" s="84">
        <v>27358</v>
      </c>
      <c r="N38" s="117">
        <v>4000</v>
      </c>
      <c r="O38" s="126">
        <v>0</v>
      </c>
      <c r="P38" s="88">
        <v>27358</v>
      </c>
      <c r="Q38" s="117">
        <v>4000</v>
      </c>
      <c r="R38" s="84">
        <v>0</v>
      </c>
      <c r="S38" s="84">
        <f t="shared" si="18"/>
        <v>31358</v>
      </c>
      <c r="T38" s="140">
        <f t="shared" si="19"/>
        <v>31358</v>
      </c>
      <c r="U38" s="84">
        <f t="shared" si="20"/>
        <v>31358</v>
      </c>
      <c r="V38" s="104">
        <f t="shared" si="16"/>
        <v>0</v>
      </c>
      <c r="W38" s="141">
        <f t="shared" si="21"/>
        <v>25399.980000000003</v>
      </c>
      <c r="X38" s="84">
        <f t="shared" si="22"/>
        <v>25399.980000000003</v>
      </c>
      <c r="Y38" s="84">
        <f t="shared" si="17"/>
        <v>0</v>
      </c>
      <c r="Z38" s="187"/>
      <c r="AA38" s="187"/>
      <c r="AB38" s="189"/>
      <c r="AC38" s="353"/>
      <c r="AD38" s="353"/>
      <c r="AE38" s="481"/>
      <c r="AF38" s="482"/>
      <c r="AG38" s="328"/>
      <c r="AH38" s="328"/>
    </row>
    <row r="39" spans="1:34" s="91" customFormat="1" ht="24.95" customHeight="1" x14ac:dyDescent="0.2">
      <c r="A39" s="449">
        <v>15</v>
      </c>
      <c r="B39" s="450" t="s">
        <v>94</v>
      </c>
      <c r="C39" s="12" t="s">
        <v>95</v>
      </c>
      <c r="D39" s="79" t="s">
        <v>96</v>
      </c>
      <c r="E39" s="411" t="s">
        <v>97</v>
      </c>
      <c r="F39" s="410" t="s">
        <v>98</v>
      </c>
      <c r="G39" s="412" t="s">
        <v>99</v>
      </c>
      <c r="H39" s="412" t="s">
        <v>33</v>
      </c>
      <c r="I39" s="470" t="s">
        <v>33</v>
      </c>
      <c r="J39" s="87">
        <v>305803.396468647</v>
      </c>
      <c r="K39" s="89">
        <v>35508</v>
      </c>
      <c r="L39" s="89">
        <v>0</v>
      </c>
      <c r="M39" s="89">
        <v>104954.52</v>
      </c>
      <c r="N39" s="89">
        <v>0</v>
      </c>
      <c r="O39" s="127">
        <v>0</v>
      </c>
      <c r="P39" s="89">
        <v>104954.52</v>
      </c>
      <c r="Q39" s="89">
        <v>0</v>
      </c>
      <c r="R39" s="89">
        <v>0</v>
      </c>
      <c r="S39" s="84">
        <f>P39+Q39</f>
        <v>104954.52</v>
      </c>
      <c r="T39" s="140">
        <f t="shared" si="19"/>
        <v>104954.52</v>
      </c>
      <c r="U39" s="84">
        <f t="shared" si="20"/>
        <v>104954.52</v>
      </c>
      <c r="V39" s="104">
        <f t="shared" si="16"/>
        <v>0</v>
      </c>
      <c r="W39" s="141">
        <f t="shared" si="21"/>
        <v>85013.161200000002</v>
      </c>
      <c r="X39" s="84">
        <f t="shared" ref="X39:X53" si="23">W39</f>
        <v>85013.161200000002</v>
      </c>
      <c r="Y39" s="84">
        <f t="shared" si="17"/>
        <v>0</v>
      </c>
      <c r="Z39" s="361" t="s">
        <v>34</v>
      </c>
      <c r="AA39" s="184" t="s">
        <v>35</v>
      </c>
      <c r="AB39" s="42">
        <f>18.864*1500</f>
        <v>28296</v>
      </c>
      <c r="AC39" s="354">
        <f>3462.8+45565.96+34434.04+100702.65</f>
        <v>184165.45</v>
      </c>
      <c r="AD39" s="354">
        <f>27702.4+27702.4+35467.25+26522.85+40648.52</f>
        <v>158043.41999999998</v>
      </c>
      <c r="AE39" s="481">
        <f>W39+W40+W41+W42+W43+W44+W45+W46+W47+W48+W49+W50+W51+W52+W53-AB40-AB39-AC39-AD39</f>
        <v>369515.17820000014</v>
      </c>
      <c r="AF39" s="482"/>
      <c r="AG39" s="328">
        <f>SUM(T39:T53)</f>
        <v>920827.22</v>
      </c>
      <c r="AH39" s="328">
        <f>SUM(W39:W53)</f>
        <v>745870.04820000008</v>
      </c>
    </row>
    <row r="40" spans="1:34" s="91" customFormat="1" ht="24.95" customHeight="1" x14ac:dyDescent="0.2">
      <c r="A40" s="449"/>
      <c r="B40" s="450"/>
      <c r="C40" s="12" t="s">
        <v>100</v>
      </c>
      <c r="D40" s="79" t="s">
        <v>101</v>
      </c>
      <c r="E40" s="411"/>
      <c r="F40" s="410"/>
      <c r="G40" s="412"/>
      <c r="H40" s="412"/>
      <c r="I40" s="470"/>
      <c r="J40" s="87">
        <v>87694.559799412498</v>
      </c>
      <c r="K40" s="89">
        <v>11867</v>
      </c>
      <c r="L40" s="89">
        <v>0</v>
      </c>
      <c r="M40" s="89">
        <v>28070.73</v>
      </c>
      <c r="N40" s="89">
        <v>0</v>
      </c>
      <c r="O40" s="127">
        <v>0</v>
      </c>
      <c r="P40" s="89">
        <v>28070.73</v>
      </c>
      <c r="Q40" s="89">
        <v>0</v>
      </c>
      <c r="R40" s="89">
        <v>0</v>
      </c>
      <c r="S40" s="84">
        <f t="shared" ref="S40:S53" si="24">P40+Q40</f>
        <v>28070.73</v>
      </c>
      <c r="T40" s="140">
        <f t="shared" si="19"/>
        <v>28070.73</v>
      </c>
      <c r="U40" s="84">
        <f t="shared" si="20"/>
        <v>28070.73</v>
      </c>
      <c r="V40" s="104">
        <f t="shared" si="16"/>
        <v>0</v>
      </c>
      <c r="W40" s="141">
        <f t="shared" si="21"/>
        <v>22737.291300000001</v>
      </c>
      <c r="X40" s="84">
        <f t="shared" si="23"/>
        <v>22737.291300000001</v>
      </c>
      <c r="Y40" s="84">
        <f t="shared" si="17"/>
        <v>0</v>
      </c>
      <c r="Z40" s="361"/>
      <c r="AA40" s="184" t="s">
        <v>36</v>
      </c>
      <c r="AB40" s="42">
        <f>39*150</f>
        <v>5850</v>
      </c>
      <c r="AC40" s="354"/>
      <c r="AD40" s="354"/>
      <c r="AE40" s="481"/>
      <c r="AF40" s="482"/>
      <c r="AG40" s="328"/>
      <c r="AH40" s="328"/>
    </row>
    <row r="41" spans="1:34" s="91" customFormat="1" ht="24.95" customHeight="1" x14ac:dyDescent="0.2">
      <c r="A41" s="449"/>
      <c r="B41" s="450"/>
      <c r="C41" s="12" t="s">
        <v>103</v>
      </c>
      <c r="D41" s="79" t="s">
        <v>104</v>
      </c>
      <c r="E41" s="411"/>
      <c r="F41" s="410"/>
      <c r="G41" s="412"/>
      <c r="H41" s="412"/>
      <c r="I41" s="470"/>
      <c r="J41" s="87">
        <v>111553.35783396701</v>
      </c>
      <c r="K41" s="89">
        <v>12176.26</v>
      </c>
      <c r="L41" s="89">
        <v>0</v>
      </c>
      <c r="M41" s="89">
        <v>39492.33</v>
      </c>
      <c r="N41" s="89">
        <v>0</v>
      </c>
      <c r="O41" s="127">
        <v>0</v>
      </c>
      <c r="P41" s="89">
        <v>39492.33</v>
      </c>
      <c r="Q41" s="89">
        <v>0</v>
      </c>
      <c r="R41" s="89">
        <v>0</v>
      </c>
      <c r="S41" s="84">
        <f t="shared" si="24"/>
        <v>39492.33</v>
      </c>
      <c r="T41" s="140">
        <f t="shared" si="19"/>
        <v>39492.33</v>
      </c>
      <c r="U41" s="84">
        <f t="shared" si="20"/>
        <v>39492.33</v>
      </c>
      <c r="V41" s="104">
        <f t="shared" si="16"/>
        <v>0</v>
      </c>
      <c r="W41" s="141">
        <f t="shared" si="21"/>
        <v>31988.787300000004</v>
      </c>
      <c r="X41" s="84">
        <f t="shared" si="23"/>
        <v>31988.787300000004</v>
      </c>
      <c r="Y41" s="84">
        <f t="shared" si="17"/>
        <v>0</v>
      </c>
      <c r="Z41" s="187"/>
      <c r="AA41" s="187"/>
      <c r="AB41" s="189"/>
      <c r="AC41" s="354"/>
      <c r="AD41" s="354"/>
      <c r="AE41" s="481"/>
      <c r="AF41" s="482"/>
      <c r="AG41" s="328">
        <f>AC39/AG39</f>
        <v>0.20000000651588037</v>
      </c>
      <c r="AH41" s="331">
        <f>AD39/AH39</f>
        <v>0.21189136147966314</v>
      </c>
    </row>
    <row r="42" spans="1:34" s="91" customFormat="1" ht="24.95" customHeight="1" x14ac:dyDescent="0.2">
      <c r="A42" s="449"/>
      <c r="B42" s="450"/>
      <c r="C42" s="12" t="s">
        <v>105</v>
      </c>
      <c r="D42" s="79" t="s">
        <v>106</v>
      </c>
      <c r="E42" s="411"/>
      <c r="F42" s="410"/>
      <c r="G42" s="412"/>
      <c r="H42" s="412"/>
      <c r="I42" s="470"/>
      <c r="J42" s="87">
        <v>298926.55480013898</v>
      </c>
      <c r="K42" s="89">
        <v>16614.86</v>
      </c>
      <c r="L42" s="89">
        <v>0</v>
      </c>
      <c r="M42" s="89">
        <v>101491.48</v>
      </c>
      <c r="N42" s="89">
        <v>0</v>
      </c>
      <c r="O42" s="127">
        <v>0</v>
      </c>
      <c r="P42" s="89">
        <v>101491.48</v>
      </c>
      <c r="Q42" s="89">
        <v>0</v>
      </c>
      <c r="R42" s="89">
        <v>0</v>
      </c>
      <c r="S42" s="84">
        <f t="shared" si="24"/>
        <v>101491.48</v>
      </c>
      <c r="T42" s="140">
        <f t="shared" si="19"/>
        <v>101491.48</v>
      </c>
      <c r="U42" s="84">
        <f t="shared" si="20"/>
        <v>101491.48</v>
      </c>
      <c r="V42" s="104">
        <f t="shared" si="16"/>
        <v>0</v>
      </c>
      <c r="W42" s="141">
        <f t="shared" si="21"/>
        <v>82208.098800000007</v>
      </c>
      <c r="X42" s="84">
        <f t="shared" si="23"/>
        <v>82208.098800000007</v>
      </c>
      <c r="Y42" s="84">
        <f t="shared" si="17"/>
        <v>0</v>
      </c>
      <c r="Z42" s="187"/>
      <c r="AA42" s="187"/>
      <c r="AB42" s="189"/>
      <c r="AC42" s="354"/>
      <c r="AD42" s="354"/>
      <c r="AE42" s="481"/>
      <c r="AF42" s="482"/>
      <c r="AG42" s="328"/>
      <c r="AH42" s="328"/>
    </row>
    <row r="43" spans="1:34" s="91" customFormat="1" ht="24.95" customHeight="1" x14ac:dyDescent="0.2">
      <c r="A43" s="449"/>
      <c r="B43" s="450"/>
      <c r="C43" s="12" t="s">
        <v>107</v>
      </c>
      <c r="D43" s="79" t="s">
        <v>108</v>
      </c>
      <c r="E43" s="411"/>
      <c r="F43" s="410"/>
      <c r="G43" s="412"/>
      <c r="H43" s="412"/>
      <c r="I43" s="470"/>
      <c r="J43" s="87">
        <v>182141.496072637</v>
      </c>
      <c r="K43" s="89">
        <v>19382.37</v>
      </c>
      <c r="L43" s="89">
        <v>0</v>
      </c>
      <c r="M43" s="89">
        <v>133530.07999999999</v>
      </c>
      <c r="N43" s="89">
        <v>0</v>
      </c>
      <c r="O43" s="127">
        <v>0</v>
      </c>
      <c r="P43" s="89">
        <v>133530.07999999999</v>
      </c>
      <c r="Q43" s="89">
        <v>0</v>
      </c>
      <c r="R43" s="89">
        <v>0</v>
      </c>
      <c r="S43" s="84">
        <f t="shared" si="24"/>
        <v>133530.07999999999</v>
      </c>
      <c r="T43" s="140">
        <f t="shared" si="19"/>
        <v>133530.07999999999</v>
      </c>
      <c r="U43" s="84">
        <f t="shared" si="20"/>
        <v>133530.07999999999</v>
      </c>
      <c r="V43" s="104">
        <f t="shared" si="16"/>
        <v>0</v>
      </c>
      <c r="W43" s="141">
        <f t="shared" si="21"/>
        <v>108159.3648</v>
      </c>
      <c r="X43" s="84">
        <f t="shared" si="23"/>
        <v>108159.3648</v>
      </c>
      <c r="Y43" s="84">
        <f t="shared" si="17"/>
        <v>0</v>
      </c>
      <c r="Z43" s="187"/>
      <c r="AA43" s="187"/>
      <c r="AB43" s="189"/>
      <c r="AC43" s="354"/>
      <c r="AD43" s="354"/>
      <c r="AE43" s="481"/>
      <c r="AF43" s="482"/>
      <c r="AG43" s="328"/>
      <c r="AH43" s="328"/>
    </row>
    <row r="44" spans="1:34" s="91" customFormat="1" ht="24.95" customHeight="1" x14ac:dyDescent="0.2">
      <c r="A44" s="449"/>
      <c r="B44" s="450"/>
      <c r="C44" s="12" t="s">
        <v>109</v>
      </c>
      <c r="D44" s="79" t="s">
        <v>110</v>
      </c>
      <c r="E44" s="411"/>
      <c r="F44" s="410"/>
      <c r="G44" s="412"/>
      <c r="H44" s="412"/>
      <c r="I44" s="470"/>
      <c r="J44" s="87">
        <v>108911.88216018</v>
      </c>
      <c r="K44" s="89">
        <v>5953.25</v>
      </c>
      <c r="L44" s="89">
        <v>0</v>
      </c>
      <c r="M44" s="89">
        <v>38443.53</v>
      </c>
      <c r="N44" s="89">
        <v>0</v>
      </c>
      <c r="O44" s="127">
        <v>0</v>
      </c>
      <c r="P44" s="89">
        <v>38443.53</v>
      </c>
      <c r="Q44" s="89">
        <v>0</v>
      </c>
      <c r="R44" s="89">
        <v>0</v>
      </c>
      <c r="S44" s="84">
        <f t="shared" si="24"/>
        <v>38443.53</v>
      </c>
      <c r="T44" s="140">
        <f t="shared" si="19"/>
        <v>38443.53</v>
      </c>
      <c r="U44" s="84">
        <f t="shared" si="20"/>
        <v>38443.53</v>
      </c>
      <c r="V44" s="104">
        <f t="shared" si="16"/>
        <v>0</v>
      </c>
      <c r="W44" s="141">
        <f t="shared" si="21"/>
        <v>31139.259300000002</v>
      </c>
      <c r="X44" s="84">
        <f t="shared" si="23"/>
        <v>31139.259300000002</v>
      </c>
      <c r="Y44" s="84">
        <f t="shared" si="17"/>
        <v>0</v>
      </c>
      <c r="Z44" s="187"/>
      <c r="AA44" s="187"/>
      <c r="AB44" s="189"/>
      <c r="AC44" s="354"/>
      <c r="AD44" s="354"/>
      <c r="AE44" s="481"/>
      <c r="AF44" s="482"/>
      <c r="AG44" s="328"/>
      <c r="AH44" s="328"/>
    </row>
    <row r="45" spans="1:34" s="91" customFormat="1" ht="24.95" customHeight="1" x14ac:dyDescent="0.2">
      <c r="A45" s="449"/>
      <c r="B45" s="450"/>
      <c r="C45" s="12" t="s">
        <v>111</v>
      </c>
      <c r="D45" s="79" t="s">
        <v>112</v>
      </c>
      <c r="E45" s="411"/>
      <c r="F45" s="410"/>
      <c r="G45" s="412"/>
      <c r="H45" s="412"/>
      <c r="I45" s="470"/>
      <c r="J45" s="87">
        <v>123254.78162629499</v>
      </c>
      <c r="K45" s="89">
        <v>15760.72</v>
      </c>
      <c r="L45" s="89">
        <v>0</v>
      </c>
      <c r="M45" s="89">
        <v>45475.57</v>
      </c>
      <c r="N45" s="89">
        <v>0</v>
      </c>
      <c r="O45" s="127">
        <v>0</v>
      </c>
      <c r="P45" s="89">
        <v>45475.57</v>
      </c>
      <c r="Q45" s="89">
        <v>0</v>
      </c>
      <c r="R45" s="89">
        <v>0</v>
      </c>
      <c r="S45" s="84">
        <f t="shared" si="24"/>
        <v>45475.57</v>
      </c>
      <c r="T45" s="140">
        <f t="shared" si="19"/>
        <v>45475.57</v>
      </c>
      <c r="U45" s="84">
        <f t="shared" si="20"/>
        <v>45475.57</v>
      </c>
      <c r="V45" s="104">
        <f t="shared" si="16"/>
        <v>0</v>
      </c>
      <c r="W45" s="141">
        <f t="shared" si="21"/>
        <v>36835.2117</v>
      </c>
      <c r="X45" s="84">
        <f t="shared" si="23"/>
        <v>36835.2117</v>
      </c>
      <c r="Y45" s="84">
        <f t="shared" si="17"/>
        <v>0</v>
      </c>
      <c r="Z45" s="187"/>
      <c r="AA45" s="187"/>
      <c r="AB45" s="189"/>
      <c r="AC45" s="354"/>
      <c r="AD45" s="354"/>
      <c r="AE45" s="481"/>
      <c r="AF45" s="482"/>
      <c r="AG45" s="328"/>
      <c r="AH45" s="328"/>
    </row>
    <row r="46" spans="1:34" s="91" customFormat="1" ht="24.95" customHeight="1" x14ac:dyDescent="0.2">
      <c r="A46" s="449"/>
      <c r="B46" s="450"/>
      <c r="C46" s="12" t="s">
        <v>113</v>
      </c>
      <c r="D46" s="79" t="s">
        <v>114</v>
      </c>
      <c r="E46" s="411"/>
      <c r="F46" s="410"/>
      <c r="G46" s="412"/>
      <c r="H46" s="412"/>
      <c r="I46" s="470"/>
      <c r="J46" s="87">
        <v>138893.74319774201</v>
      </c>
      <c r="K46" s="89">
        <v>16745.87</v>
      </c>
      <c r="L46" s="89">
        <v>0</v>
      </c>
      <c r="M46" s="89">
        <v>50209.37</v>
      </c>
      <c r="N46" s="89">
        <v>0</v>
      </c>
      <c r="O46" s="127">
        <v>0</v>
      </c>
      <c r="P46" s="89">
        <v>50209.37</v>
      </c>
      <c r="Q46" s="89">
        <v>0</v>
      </c>
      <c r="R46" s="89">
        <v>0</v>
      </c>
      <c r="S46" s="84">
        <f t="shared" si="24"/>
        <v>50209.37</v>
      </c>
      <c r="T46" s="140">
        <f t="shared" si="19"/>
        <v>50209.37</v>
      </c>
      <c r="U46" s="84">
        <f t="shared" si="20"/>
        <v>50209.37</v>
      </c>
      <c r="V46" s="104">
        <f t="shared" si="16"/>
        <v>0</v>
      </c>
      <c r="W46" s="141">
        <f t="shared" si="21"/>
        <v>40669.589700000004</v>
      </c>
      <c r="X46" s="84">
        <f t="shared" si="23"/>
        <v>40669.589700000004</v>
      </c>
      <c r="Y46" s="84">
        <f t="shared" si="17"/>
        <v>0</v>
      </c>
      <c r="Z46" s="187"/>
      <c r="AA46" s="187"/>
      <c r="AB46" s="189"/>
      <c r="AC46" s="354"/>
      <c r="AD46" s="354"/>
      <c r="AE46" s="481"/>
      <c r="AF46" s="482"/>
      <c r="AG46" s="328"/>
      <c r="AH46" s="328"/>
    </row>
    <row r="47" spans="1:34" s="91" customFormat="1" ht="24.95" customHeight="1" x14ac:dyDescent="0.2">
      <c r="A47" s="449"/>
      <c r="B47" s="450"/>
      <c r="C47" s="12" t="s">
        <v>115</v>
      </c>
      <c r="D47" s="79" t="s">
        <v>116</v>
      </c>
      <c r="E47" s="411"/>
      <c r="F47" s="410"/>
      <c r="G47" s="412"/>
      <c r="H47" s="412"/>
      <c r="I47" s="470"/>
      <c r="J47" s="87">
        <v>139380.98322208499</v>
      </c>
      <c r="K47" s="89">
        <v>11596.05</v>
      </c>
      <c r="L47" s="89">
        <v>0</v>
      </c>
      <c r="M47" s="89">
        <v>48763.31</v>
      </c>
      <c r="N47" s="89">
        <v>0</v>
      </c>
      <c r="O47" s="127">
        <v>0</v>
      </c>
      <c r="P47" s="89">
        <v>48763.31</v>
      </c>
      <c r="Q47" s="89">
        <v>0</v>
      </c>
      <c r="R47" s="89">
        <v>0</v>
      </c>
      <c r="S47" s="84">
        <f t="shared" si="24"/>
        <v>48763.31</v>
      </c>
      <c r="T47" s="140">
        <f t="shared" si="19"/>
        <v>48763.31</v>
      </c>
      <c r="U47" s="84">
        <f t="shared" si="20"/>
        <v>48763.31</v>
      </c>
      <c r="V47" s="104">
        <f t="shared" si="16"/>
        <v>0</v>
      </c>
      <c r="W47" s="141">
        <f t="shared" si="21"/>
        <v>39498.2811</v>
      </c>
      <c r="X47" s="84">
        <f t="shared" si="23"/>
        <v>39498.2811</v>
      </c>
      <c r="Y47" s="84">
        <f t="shared" si="17"/>
        <v>0</v>
      </c>
      <c r="Z47" s="187"/>
      <c r="AA47" s="187"/>
      <c r="AB47" s="189"/>
      <c r="AC47" s="354"/>
      <c r="AD47" s="354"/>
      <c r="AE47" s="481"/>
      <c r="AF47" s="482"/>
      <c r="AG47" s="328"/>
      <c r="AH47" s="328"/>
    </row>
    <row r="48" spans="1:34" s="91" customFormat="1" ht="24.95" customHeight="1" x14ac:dyDescent="0.2">
      <c r="A48" s="449"/>
      <c r="B48" s="450"/>
      <c r="C48" s="12" t="s">
        <v>117</v>
      </c>
      <c r="D48" s="79" t="s">
        <v>118</v>
      </c>
      <c r="E48" s="411"/>
      <c r="F48" s="410"/>
      <c r="G48" s="412"/>
      <c r="H48" s="412"/>
      <c r="I48" s="470"/>
      <c r="J48" s="87">
        <v>92871.044285084994</v>
      </c>
      <c r="K48" s="89">
        <v>8845.85</v>
      </c>
      <c r="L48" s="89">
        <v>0</v>
      </c>
      <c r="M48" s="89">
        <v>26104.11</v>
      </c>
      <c r="N48" s="89">
        <v>0</v>
      </c>
      <c r="O48" s="127">
        <v>0</v>
      </c>
      <c r="P48" s="89">
        <v>26104.11</v>
      </c>
      <c r="Q48" s="89">
        <v>0</v>
      </c>
      <c r="R48" s="89">
        <v>0</v>
      </c>
      <c r="S48" s="84">
        <f t="shared" si="24"/>
        <v>26104.11</v>
      </c>
      <c r="T48" s="140">
        <f t="shared" si="19"/>
        <v>26104.11</v>
      </c>
      <c r="U48" s="84">
        <f t="shared" si="20"/>
        <v>26104.11</v>
      </c>
      <c r="V48" s="104">
        <f t="shared" si="16"/>
        <v>0</v>
      </c>
      <c r="W48" s="141">
        <f t="shared" si="21"/>
        <v>21144.329100000003</v>
      </c>
      <c r="X48" s="84">
        <f t="shared" si="23"/>
        <v>21144.329100000003</v>
      </c>
      <c r="Y48" s="84">
        <f t="shared" si="17"/>
        <v>0</v>
      </c>
      <c r="Z48" s="187"/>
      <c r="AA48" s="187"/>
      <c r="AB48" s="189"/>
      <c r="AC48" s="354"/>
      <c r="AD48" s="354"/>
      <c r="AE48" s="481"/>
      <c r="AF48" s="482"/>
      <c r="AG48" s="328"/>
      <c r="AH48" s="328"/>
    </row>
    <row r="49" spans="1:34" s="91" customFormat="1" ht="24.95" customHeight="1" x14ac:dyDescent="0.2">
      <c r="A49" s="449"/>
      <c r="B49" s="450"/>
      <c r="C49" s="12" t="s">
        <v>119</v>
      </c>
      <c r="D49" s="79" t="s">
        <v>120</v>
      </c>
      <c r="E49" s="411"/>
      <c r="F49" s="410"/>
      <c r="G49" s="412"/>
      <c r="H49" s="412"/>
      <c r="I49" s="470"/>
      <c r="J49" s="87">
        <v>296367.15967252501</v>
      </c>
      <c r="K49" s="89">
        <v>21264.47</v>
      </c>
      <c r="L49" s="89">
        <v>0</v>
      </c>
      <c r="M49" s="89">
        <v>96869.06</v>
      </c>
      <c r="N49" s="89">
        <v>0</v>
      </c>
      <c r="O49" s="127">
        <v>0</v>
      </c>
      <c r="P49" s="89">
        <v>96869.06</v>
      </c>
      <c r="Q49" s="89">
        <v>0</v>
      </c>
      <c r="R49" s="89">
        <v>0</v>
      </c>
      <c r="S49" s="84">
        <f t="shared" si="24"/>
        <v>96869.06</v>
      </c>
      <c r="T49" s="140">
        <f t="shared" si="19"/>
        <v>96869.06</v>
      </c>
      <c r="U49" s="84">
        <f t="shared" si="20"/>
        <v>96869.06</v>
      </c>
      <c r="V49" s="104">
        <f t="shared" si="16"/>
        <v>0</v>
      </c>
      <c r="W49" s="141">
        <f t="shared" si="21"/>
        <v>78463.938600000009</v>
      </c>
      <c r="X49" s="84">
        <f t="shared" si="23"/>
        <v>78463.938600000009</v>
      </c>
      <c r="Y49" s="84">
        <f t="shared" si="17"/>
        <v>0</v>
      </c>
      <c r="Z49" s="187"/>
      <c r="AA49" s="187"/>
      <c r="AB49" s="189"/>
      <c r="AC49" s="354"/>
      <c r="AD49" s="354"/>
      <c r="AE49" s="481"/>
      <c r="AF49" s="482"/>
      <c r="AG49" s="328"/>
      <c r="AH49" s="328"/>
    </row>
    <row r="50" spans="1:34" s="91" customFormat="1" ht="24.95" customHeight="1" x14ac:dyDescent="0.2">
      <c r="A50" s="449"/>
      <c r="B50" s="450"/>
      <c r="C50" s="12" t="s">
        <v>121</v>
      </c>
      <c r="D50" s="79" t="s">
        <v>122</v>
      </c>
      <c r="E50" s="411"/>
      <c r="F50" s="410"/>
      <c r="G50" s="412"/>
      <c r="H50" s="412"/>
      <c r="I50" s="470"/>
      <c r="J50" s="87">
        <v>34237.46404287</v>
      </c>
      <c r="K50" s="89">
        <v>6993.96</v>
      </c>
      <c r="L50" s="89">
        <v>0</v>
      </c>
      <c r="M50" s="89">
        <v>12446.46</v>
      </c>
      <c r="N50" s="89">
        <v>0</v>
      </c>
      <c r="O50" s="127">
        <v>0</v>
      </c>
      <c r="P50" s="89">
        <v>12446.46</v>
      </c>
      <c r="Q50" s="89">
        <v>0</v>
      </c>
      <c r="R50" s="89">
        <v>0</v>
      </c>
      <c r="S50" s="84">
        <f t="shared" si="24"/>
        <v>12446.46</v>
      </c>
      <c r="T50" s="140">
        <f t="shared" si="19"/>
        <v>12446.46</v>
      </c>
      <c r="U50" s="84">
        <f t="shared" si="20"/>
        <v>12446.46</v>
      </c>
      <c r="V50" s="104">
        <f t="shared" si="16"/>
        <v>0</v>
      </c>
      <c r="W50" s="141">
        <f t="shared" si="21"/>
        <v>10081.632600000001</v>
      </c>
      <c r="X50" s="84">
        <f t="shared" si="23"/>
        <v>10081.632600000001</v>
      </c>
      <c r="Y50" s="84">
        <f t="shared" si="17"/>
        <v>0</v>
      </c>
      <c r="Z50" s="187"/>
      <c r="AA50" s="187"/>
      <c r="AB50" s="189"/>
      <c r="AC50" s="354"/>
      <c r="AD50" s="354"/>
      <c r="AE50" s="481"/>
      <c r="AF50" s="482"/>
      <c r="AG50" s="328"/>
      <c r="AH50" s="328"/>
    </row>
    <row r="51" spans="1:34" s="91" customFormat="1" ht="24.95" customHeight="1" x14ac:dyDescent="0.2">
      <c r="A51" s="449"/>
      <c r="B51" s="450"/>
      <c r="C51" s="12" t="s">
        <v>123</v>
      </c>
      <c r="D51" s="79" t="s">
        <v>124</v>
      </c>
      <c r="E51" s="411"/>
      <c r="F51" s="410"/>
      <c r="G51" s="412"/>
      <c r="H51" s="412"/>
      <c r="I51" s="470"/>
      <c r="J51" s="87">
        <v>200526.90856464399</v>
      </c>
      <c r="K51" s="89">
        <v>9625.07</v>
      </c>
      <c r="L51" s="89">
        <v>0</v>
      </c>
      <c r="M51" s="89">
        <v>65388.77</v>
      </c>
      <c r="N51" s="89">
        <v>0</v>
      </c>
      <c r="O51" s="127">
        <v>0</v>
      </c>
      <c r="P51" s="89">
        <v>65388.77</v>
      </c>
      <c r="Q51" s="89">
        <v>0</v>
      </c>
      <c r="R51" s="89">
        <v>0</v>
      </c>
      <c r="S51" s="84">
        <f t="shared" si="24"/>
        <v>65388.77</v>
      </c>
      <c r="T51" s="140">
        <f t="shared" si="19"/>
        <v>65388.77</v>
      </c>
      <c r="U51" s="84">
        <f t="shared" si="20"/>
        <v>65388.77</v>
      </c>
      <c r="V51" s="104">
        <f t="shared" si="16"/>
        <v>0</v>
      </c>
      <c r="W51" s="141">
        <f t="shared" si="21"/>
        <v>52964.903700000003</v>
      </c>
      <c r="X51" s="84">
        <f t="shared" si="23"/>
        <v>52964.903700000003</v>
      </c>
      <c r="Y51" s="84">
        <f t="shared" si="17"/>
        <v>0</v>
      </c>
      <c r="Z51" s="187"/>
      <c r="AA51" s="187"/>
      <c r="AB51" s="189"/>
      <c r="AC51" s="354"/>
      <c r="AD51" s="354"/>
      <c r="AE51" s="481"/>
      <c r="AF51" s="482"/>
      <c r="AG51" s="328"/>
      <c r="AH51" s="328"/>
    </row>
    <row r="52" spans="1:34" s="91" customFormat="1" ht="24.95" customHeight="1" x14ac:dyDescent="0.2">
      <c r="A52" s="449"/>
      <c r="B52" s="450"/>
      <c r="C52" s="12" t="s">
        <v>125</v>
      </c>
      <c r="D52" s="79" t="s">
        <v>126</v>
      </c>
      <c r="E52" s="411"/>
      <c r="F52" s="410"/>
      <c r="G52" s="412"/>
      <c r="H52" s="412"/>
      <c r="I52" s="470"/>
      <c r="J52" s="87">
        <v>321939.64584220201</v>
      </c>
      <c r="K52" s="89">
        <v>21601.66</v>
      </c>
      <c r="L52" s="89">
        <v>0</v>
      </c>
      <c r="M52" s="89">
        <v>108131.44</v>
      </c>
      <c r="N52" s="89">
        <v>0</v>
      </c>
      <c r="O52" s="127">
        <v>0</v>
      </c>
      <c r="P52" s="89">
        <v>108131.44</v>
      </c>
      <c r="Q52" s="89">
        <v>0</v>
      </c>
      <c r="R52" s="89">
        <v>0</v>
      </c>
      <c r="S52" s="84">
        <f t="shared" si="24"/>
        <v>108131.44</v>
      </c>
      <c r="T52" s="140">
        <f t="shared" si="19"/>
        <v>108131.44</v>
      </c>
      <c r="U52" s="84">
        <f t="shared" si="20"/>
        <v>108131.44</v>
      </c>
      <c r="V52" s="104">
        <f t="shared" si="16"/>
        <v>0</v>
      </c>
      <c r="W52" s="141">
        <f t="shared" si="21"/>
        <v>87586.466400000005</v>
      </c>
      <c r="X52" s="84">
        <f t="shared" si="23"/>
        <v>87586.466400000005</v>
      </c>
      <c r="Y52" s="84">
        <f t="shared" si="17"/>
        <v>0</v>
      </c>
      <c r="Z52" s="187"/>
      <c r="AA52" s="187"/>
      <c r="AB52" s="189"/>
      <c r="AC52" s="354"/>
      <c r="AD52" s="354"/>
      <c r="AE52" s="481"/>
      <c r="AF52" s="482"/>
      <c r="AG52" s="328"/>
      <c r="AH52" s="328"/>
    </row>
    <row r="53" spans="1:34" s="91" customFormat="1" ht="24.95" customHeight="1" x14ac:dyDescent="0.2">
      <c r="A53" s="449"/>
      <c r="B53" s="450"/>
      <c r="C53" s="12" t="s">
        <v>127</v>
      </c>
      <c r="D53" s="79" t="s">
        <v>128</v>
      </c>
      <c r="E53" s="411"/>
      <c r="F53" s="410"/>
      <c r="G53" s="412"/>
      <c r="H53" s="412"/>
      <c r="I53" s="470"/>
      <c r="J53" s="87">
        <v>67459.059086759997</v>
      </c>
      <c r="K53" s="89">
        <v>6996.19</v>
      </c>
      <c r="L53" s="89">
        <v>0</v>
      </c>
      <c r="M53" s="89">
        <v>21456.46</v>
      </c>
      <c r="N53" s="89">
        <v>0</v>
      </c>
      <c r="O53" s="127">
        <v>0</v>
      </c>
      <c r="P53" s="89">
        <v>21456.46</v>
      </c>
      <c r="Q53" s="89">
        <v>0</v>
      </c>
      <c r="R53" s="89">
        <v>0</v>
      </c>
      <c r="S53" s="84">
        <f t="shared" si="24"/>
        <v>21456.46</v>
      </c>
      <c r="T53" s="140">
        <f t="shared" si="19"/>
        <v>21456.46</v>
      </c>
      <c r="U53" s="84">
        <f t="shared" si="20"/>
        <v>21456.46</v>
      </c>
      <c r="V53" s="104">
        <f t="shared" si="16"/>
        <v>0</v>
      </c>
      <c r="W53" s="141">
        <f t="shared" si="21"/>
        <v>17379.732599999999</v>
      </c>
      <c r="X53" s="84">
        <f t="shared" si="23"/>
        <v>17379.732599999999</v>
      </c>
      <c r="Y53" s="84">
        <f t="shared" si="17"/>
        <v>0</v>
      </c>
      <c r="Z53" s="187"/>
      <c r="AA53" s="187"/>
      <c r="AB53" s="189"/>
      <c r="AC53" s="354"/>
      <c r="AD53" s="354"/>
      <c r="AE53" s="481"/>
      <c r="AF53" s="482"/>
      <c r="AG53" s="328"/>
      <c r="AH53" s="328"/>
    </row>
    <row r="54" spans="1:34" s="91" customFormat="1" ht="24.95" customHeight="1" x14ac:dyDescent="0.2">
      <c r="A54" s="449">
        <v>16</v>
      </c>
      <c r="B54" s="459" t="s">
        <v>129</v>
      </c>
      <c r="C54" s="12" t="s">
        <v>130</v>
      </c>
      <c r="D54" s="79" t="s">
        <v>131</v>
      </c>
      <c r="E54" s="411" t="s">
        <v>132</v>
      </c>
      <c r="F54" s="410" t="s">
        <v>133</v>
      </c>
      <c r="G54" s="412" t="s">
        <v>134</v>
      </c>
      <c r="H54" s="412" t="s">
        <v>33</v>
      </c>
      <c r="I54" s="470" t="s">
        <v>33</v>
      </c>
      <c r="J54" s="87">
        <v>20914.997253232501</v>
      </c>
      <c r="K54" s="89">
        <v>6657.79</v>
      </c>
      <c r="L54" s="89">
        <v>0</v>
      </c>
      <c r="M54" s="84">
        <v>10465.020069304999</v>
      </c>
      <c r="N54" s="84">
        <v>6657.79</v>
      </c>
      <c r="O54" s="127">
        <v>0</v>
      </c>
      <c r="P54" s="84">
        <v>10465.020069304999</v>
      </c>
      <c r="Q54" s="84">
        <v>6657.79</v>
      </c>
      <c r="R54" s="89">
        <v>0</v>
      </c>
      <c r="S54" s="84">
        <f t="shared" ref="S54:S64" si="25">P54+Q54</f>
        <v>17122.810069305</v>
      </c>
      <c r="T54" s="140">
        <f t="shared" si="19"/>
        <v>17122.810069305</v>
      </c>
      <c r="U54" s="84">
        <v>81160</v>
      </c>
      <c r="V54" s="351">
        <f>T54+T55+T56+T57+T58+T59+T60+T61+T62-U54-U55</f>
        <v>123483.79253967828</v>
      </c>
      <c r="W54" s="141">
        <f>T54*0.8</f>
        <v>13698.248055444001</v>
      </c>
      <c r="X54" s="84">
        <f>U54*0.8</f>
        <v>64928</v>
      </c>
      <c r="Y54" s="353">
        <f>W54+W55+W56+W57+W58+W59+W60+W61+W62-X54-X55</f>
        <v>98787.03403174266</v>
      </c>
      <c r="Z54" s="361" t="s">
        <v>34</v>
      </c>
      <c r="AA54" s="184" t="s">
        <v>35</v>
      </c>
      <c r="AB54" s="42">
        <f>(0.516+0.647+0.801+0.836+0.79+0.493+0.387+1.93+1.716)*1500</f>
        <v>12174</v>
      </c>
      <c r="AC54" s="353"/>
      <c r="AD54" s="353"/>
      <c r="AE54" s="481">
        <f>W54-AC54-AD54-AB54-AB55</f>
        <v>-275.75194455599922</v>
      </c>
      <c r="AF54" s="482"/>
      <c r="AG54" s="328"/>
      <c r="AH54" s="328"/>
    </row>
    <row r="55" spans="1:34" s="91" customFormat="1" ht="24.95" customHeight="1" x14ac:dyDescent="0.2">
      <c r="A55" s="449"/>
      <c r="B55" s="459"/>
      <c r="C55" s="12" t="s">
        <v>135</v>
      </c>
      <c r="D55" s="79" t="s">
        <v>136</v>
      </c>
      <c r="E55" s="411"/>
      <c r="F55" s="410"/>
      <c r="G55" s="412"/>
      <c r="H55" s="412"/>
      <c r="I55" s="470"/>
      <c r="J55" s="87">
        <v>26513.258209020001</v>
      </c>
      <c r="K55" s="89">
        <v>7418.08</v>
      </c>
      <c r="L55" s="89">
        <v>0</v>
      </c>
      <c r="M55" s="84">
        <v>13266.163791495401</v>
      </c>
      <c r="N55" s="84">
        <v>7418.08</v>
      </c>
      <c r="O55" s="127">
        <v>0</v>
      </c>
      <c r="P55" s="84">
        <v>13266.163791495401</v>
      </c>
      <c r="Q55" s="84">
        <v>7418.08</v>
      </c>
      <c r="R55" s="89">
        <v>0</v>
      </c>
      <c r="S55" s="84">
        <f t="shared" si="25"/>
        <v>20684.243791495399</v>
      </c>
      <c r="T55" s="140">
        <f t="shared" si="19"/>
        <v>20684.243791495399</v>
      </c>
      <c r="U55" s="84">
        <v>412775</v>
      </c>
      <c r="V55" s="351"/>
      <c r="W55" s="141">
        <f>T55*0.8</f>
        <v>16547.395033196321</v>
      </c>
      <c r="X55" s="84">
        <f>U55*0.8</f>
        <v>330220</v>
      </c>
      <c r="Y55" s="353"/>
      <c r="Z55" s="361"/>
      <c r="AA55" s="184" t="s">
        <v>36</v>
      </c>
      <c r="AB55" s="42">
        <f>12*150</f>
        <v>1800</v>
      </c>
      <c r="AC55" s="353"/>
      <c r="AD55" s="353"/>
      <c r="AE55" s="481"/>
      <c r="AF55" s="482"/>
      <c r="AG55" s="328"/>
      <c r="AH55" s="328"/>
    </row>
    <row r="56" spans="1:34" s="91" customFormat="1" ht="24.95" customHeight="1" x14ac:dyDescent="0.2">
      <c r="A56" s="449"/>
      <c r="B56" s="459"/>
      <c r="C56" s="12" t="s">
        <v>137</v>
      </c>
      <c r="D56" s="79" t="s">
        <v>138</v>
      </c>
      <c r="E56" s="411"/>
      <c r="F56" s="410"/>
      <c r="G56" s="412"/>
      <c r="H56" s="412"/>
      <c r="I56" s="470"/>
      <c r="J56" s="87">
        <v>80332.751544952494</v>
      </c>
      <c r="K56" s="89">
        <v>8524.3700000000008</v>
      </c>
      <c r="L56" s="89">
        <v>0</v>
      </c>
      <c r="M56" s="84">
        <v>40195.269469605497</v>
      </c>
      <c r="N56" s="84">
        <v>8524.3700000000008</v>
      </c>
      <c r="O56" s="127">
        <v>0</v>
      </c>
      <c r="P56" s="84">
        <v>40195.269469605497</v>
      </c>
      <c r="Q56" s="84">
        <v>8524.3700000000008</v>
      </c>
      <c r="R56" s="89">
        <v>0</v>
      </c>
      <c r="S56" s="84">
        <f t="shared" si="25"/>
        <v>48719.639469605499</v>
      </c>
      <c r="T56" s="140">
        <f t="shared" si="19"/>
        <v>48719.639469605499</v>
      </c>
      <c r="U56" s="84"/>
      <c r="V56" s="351"/>
      <c r="W56" s="141">
        <f t="shared" ref="W56:W62" si="26">T56*0.8</f>
        <v>38975.7115756844</v>
      </c>
      <c r="X56" s="116"/>
      <c r="Y56" s="353"/>
      <c r="Z56" s="187"/>
      <c r="AA56" s="187"/>
      <c r="AB56" s="190"/>
      <c r="AC56" s="353"/>
      <c r="AD56" s="353"/>
      <c r="AE56" s="481"/>
      <c r="AF56" s="482"/>
      <c r="AG56" s="328"/>
      <c r="AH56" s="328"/>
    </row>
    <row r="57" spans="1:34" s="91" customFormat="1" ht="24.95" customHeight="1" x14ac:dyDescent="0.2">
      <c r="A57" s="449"/>
      <c r="B57" s="459"/>
      <c r="C57" s="12" t="s">
        <v>139</v>
      </c>
      <c r="D57" s="79" t="s">
        <v>140</v>
      </c>
      <c r="E57" s="411"/>
      <c r="F57" s="410"/>
      <c r="G57" s="412"/>
      <c r="H57" s="412"/>
      <c r="I57" s="470"/>
      <c r="J57" s="87">
        <v>94834.252294402497</v>
      </c>
      <c r="K57" s="89">
        <v>8433.8799999999992</v>
      </c>
      <c r="L57" s="89">
        <v>0</v>
      </c>
      <c r="M57" s="84">
        <v>47451.230401910201</v>
      </c>
      <c r="N57" s="84">
        <v>8433.8799999999992</v>
      </c>
      <c r="O57" s="127">
        <v>0</v>
      </c>
      <c r="P57" s="84">
        <v>47451.230401910201</v>
      </c>
      <c r="Q57" s="84">
        <v>8433.8799999999992</v>
      </c>
      <c r="R57" s="89">
        <v>0</v>
      </c>
      <c r="S57" s="84">
        <f t="shared" si="25"/>
        <v>55885.110401910199</v>
      </c>
      <c r="T57" s="140">
        <f t="shared" si="19"/>
        <v>55885.110401910199</v>
      </c>
      <c r="U57" s="116"/>
      <c r="V57" s="351"/>
      <c r="W57" s="141">
        <f t="shared" si="26"/>
        <v>44708.088321528165</v>
      </c>
      <c r="X57" s="116"/>
      <c r="Y57" s="353"/>
      <c r="Z57" s="187"/>
      <c r="AA57" s="187"/>
      <c r="AB57" s="189"/>
      <c r="AC57" s="353"/>
      <c r="AD57" s="353"/>
      <c r="AE57" s="481"/>
      <c r="AF57" s="482"/>
      <c r="AG57" s="328"/>
      <c r="AH57" s="328"/>
    </row>
    <row r="58" spans="1:34" s="91" customFormat="1" ht="24.95" customHeight="1" x14ac:dyDescent="0.2">
      <c r="A58" s="449"/>
      <c r="B58" s="459"/>
      <c r="C58" s="12" t="s">
        <v>141</v>
      </c>
      <c r="D58" s="79" t="s">
        <v>142</v>
      </c>
      <c r="E58" s="411"/>
      <c r="F58" s="410"/>
      <c r="G58" s="412"/>
      <c r="H58" s="412"/>
      <c r="I58" s="470"/>
      <c r="J58" s="87">
        <v>125121.49624012499</v>
      </c>
      <c r="K58" s="89">
        <v>46249.61</v>
      </c>
      <c r="L58" s="89">
        <v>0</v>
      </c>
      <c r="M58" s="84">
        <v>62605.749478097001</v>
      </c>
      <c r="N58" s="84">
        <v>46249.61</v>
      </c>
      <c r="O58" s="127">
        <v>0</v>
      </c>
      <c r="P58" s="84">
        <v>62605.749478097001</v>
      </c>
      <c r="Q58" s="84">
        <v>46249.61</v>
      </c>
      <c r="R58" s="89">
        <v>0</v>
      </c>
      <c r="S58" s="84">
        <f t="shared" si="25"/>
        <v>108855.359478097</v>
      </c>
      <c r="T58" s="140">
        <f t="shared" si="19"/>
        <v>108855.359478097</v>
      </c>
      <c r="U58" s="116"/>
      <c r="V58" s="351"/>
      <c r="W58" s="141">
        <f t="shared" si="26"/>
        <v>87084.287582477613</v>
      </c>
      <c r="X58" s="116"/>
      <c r="Y58" s="353"/>
      <c r="Z58" s="187"/>
      <c r="AA58" s="187"/>
      <c r="AB58" s="189"/>
      <c r="AC58" s="353"/>
      <c r="AD58" s="353"/>
      <c r="AE58" s="481"/>
      <c r="AF58" s="482"/>
      <c r="AG58" s="328"/>
      <c r="AH58" s="328"/>
    </row>
    <row r="59" spans="1:34" s="91" customFormat="1" ht="24.95" customHeight="1" x14ac:dyDescent="0.2">
      <c r="A59" s="449"/>
      <c r="B59" s="459"/>
      <c r="C59" s="12" t="s">
        <v>143</v>
      </c>
      <c r="D59" s="79" t="s">
        <v>144</v>
      </c>
      <c r="E59" s="411"/>
      <c r="F59" s="410"/>
      <c r="G59" s="412"/>
      <c r="H59" s="412"/>
      <c r="I59" s="470"/>
      <c r="J59" s="87">
        <v>98343.859869584994</v>
      </c>
      <c r="K59" s="89">
        <v>6686.33</v>
      </c>
      <c r="L59" s="89">
        <v>0</v>
      </c>
      <c r="M59" s="84">
        <v>49207.300413738798</v>
      </c>
      <c r="N59" s="84">
        <v>6686.33</v>
      </c>
      <c r="O59" s="127">
        <v>0</v>
      </c>
      <c r="P59" s="84">
        <v>49207.300413738798</v>
      </c>
      <c r="Q59" s="84">
        <v>6686.33</v>
      </c>
      <c r="R59" s="89">
        <v>0</v>
      </c>
      <c r="S59" s="84">
        <f t="shared" si="25"/>
        <v>55893.6304137388</v>
      </c>
      <c r="T59" s="140">
        <f t="shared" si="19"/>
        <v>55893.6304137388</v>
      </c>
      <c r="U59" s="116"/>
      <c r="V59" s="351"/>
      <c r="W59" s="141">
        <f t="shared" si="26"/>
        <v>44714.904330991041</v>
      </c>
      <c r="X59" s="116"/>
      <c r="Y59" s="353"/>
      <c r="Z59" s="187"/>
      <c r="AA59" s="187"/>
      <c r="AB59" s="189"/>
      <c r="AC59" s="353"/>
      <c r="AD59" s="353"/>
      <c r="AE59" s="481"/>
      <c r="AF59" s="482"/>
      <c r="AG59" s="328"/>
      <c r="AH59" s="328"/>
    </row>
    <row r="60" spans="1:34" s="91" customFormat="1" ht="24.95" customHeight="1" x14ac:dyDescent="0.2">
      <c r="A60" s="449"/>
      <c r="B60" s="459"/>
      <c r="C60" s="12" t="s">
        <v>145</v>
      </c>
      <c r="D60" s="79" t="s">
        <v>146</v>
      </c>
      <c r="E60" s="411"/>
      <c r="F60" s="410"/>
      <c r="G60" s="412"/>
      <c r="H60" s="412"/>
      <c r="I60" s="470"/>
      <c r="J60" s="87">
        <v>45121.962942292499</v>
      </c>
      <c r="K60" s="89">
        <v>5790.34</v>
      </c>
      <c r="L60" s="89">
        <v>0</v>
      </c>
      <c r="M60" s="84">
        <v>22577.210094289399</v>
      </c>
      <c r="N60" s="84">
        <v>5790.34</v>
      </c>
      <c r="O60" s="127">
        <v>0</v>
      </c>
      <c r="P60" s="84">
        <v>22577.210094289399</v>
      </c>
      <c r="Q60" s="84">
        <v>5790.34</v>
      </c>
      <c r="R60" s="89">
        <v>0</v>
      </c>
      <c r="S60" s="84">
        <f t="shared" si="25"/>
        <v>28367.5500942894</v>
      </c>
      <c r="T60" s="140">
        <f t="shared" si="19"/>
        <v>28367.5500942894</v>
      </c>
      <c r="U60" s="116"/>
      <c r="V60" s="351"/>
      <c r="W60" s="141">
        <f t="shared" si="26"/>
        <v>22694.04007543152</v>
      </c>
      <c r="X60" s="116"/>
      <c r="Y60" s="353"/>
      <c r="Z60" s="187"/>
      <c r="AA60" s="187"/>
      <c r="AB60" s="189"/>
      <c r="AC60" s="353"/>
      <c r="AD60" s="353"/>
      <c r="AE60" s="481"/>
      <c r="AF60" s="482"/>
      <c r="AG60" s="328"/>
      <c r="AH60" s="328"/>
    </row>
    <row r="61" spans="1:34" s="91" customFormat="1" ht="24.95" customHeight="1" x14ac:dyDescent="0.2">
      <c r="A61" s="449"/>
      <c r="B61" s="459"/>
      <c r="C61" s="12" t="s">
        <v>147</v>
      </c>
      <c r="D61" s="79" t="s">
        <v>148</v>
      </c>
      <c r="E61" s="411"/>
      <c r="F61" s="410"/>
      <c r="G61" s="412"/>
      <c r="H61" s="412"/>
      <c r="I61" s="470"/>
      <c r="J61" s="87">
        <v>231141.40747228099</v>
      </c>
      <c r="K61" s="89">
        <v>22974.78</v>
      </c>
      <c r="L61" s="89">
        <v>0</v>
      </c>
      <c r="M61" s="84">
        <v>114709.430610446</v>
      </c>
      <c r="N61" s="84">
        <v>22974.78</v>
      </c>
      <c r="O61" s="127">
        <v>0</v>
      </c>
      <c r="P61" s="84">
        <v>114709.430610446</v>
      </c>
      <c r="Q61" s="84">
        <v>22974.78</v>
      </c>
      <c r="R61" s="89">
        <v>0</v>
      </c>
      <c r="S61" s="84">
        <f t="shared" si="25"/>
        <v>137684.210610446</v>
      </c>
      <c r="T61" s="140">
        <f t="shared" si="19"/>
        <v>137684.210610446</v>
      </c>
      <c r="U61" s="116"/>
      <c r="V61" s="351"/>
      <c r="W61" s="141">
        <f t="shared" si="26"/>
        <v>110147.36848835681</v>
      </c>
      <c r="X61" s="116"/>
      <c r="Y61" s="353"/>
      <c r="Z61" s="187"/>
      <c r="AA61" s="187"/>
      <c r="AB61" s="189"/>
      <c r="AC61" s="353"/>
      <c r="AD61" s="353"/>
      <c r="AE61" s="481"/>
      <c r="AF61" s="482"/>
      <c r="AG61" s="328"/>
      <c r="AH61" s="328"/>
    </row>
    <row r="62" spans="1:34" s="91" customFormat="1" ht="24.95" customHeight="1" x14ac:dyDescent="0.2">
      <c r="A62" s="449"/>
      <c r="B62" s="459"/>
      <c r="C62" s="12" t="s">
        <v>149</v>
      </c>
      <c r="D62" s="79" t="s">
        <v>150</v>
      </c>
      <c r="E62" s="411"/>
      <c r="F62" s="410"/>
      <c r="G62" s="412"/>
      <c r="H62" s="412"/>
      <c r="I62" s="470"/>
      <c r="J62" s="87">
        <v>248581.45253745501</v>
      </c>
      <c r="K62" s="89">
        <v>19857.3</v>
      </c>
      <c r="L62" s="89">
        <v>0</v>
      </c>
      <c r="M62" s="84">
        <v>124348.93821079101</v>
      </c>
      <c r="N62" s="84">
        <v>19857.3</v>
      </c>
      <c r="O62" s="127">
        <v>0</v>
      </c>
      <c r="P62" s="84">
        <v>124348.93821079101</v>
      </c>
      <c r="Q62" s="84">
        <v>19857.3</v>
      </c>
      <c r="R62" s="89">
        <v>0</v>
      </c>
      <c r="S62" s="84">
        <f t="shared" si="25"/>
        <v>144206.23821079099</v>
      </c>
      <c r="T62" s="140">
        <f t="shared" si="19"/>
        <v>144206.23821079099</v>
      </c>
      <c r="U62" s="116"/>
      <c r="V62" s="351"/>
      <c r="W62" s="141">
        <f t="shared" si="26"/>
        <v>115364.9905686328</v>
      </c>
      <c r="X62" s="116"/>
      <c r="Y62" s="353"/>
      <c r="Z62" s="187"/>
      <c r="AA62" s="187"/>
      <c r="AB62" s="189"/>
      <c r="AC62" s="353"/>
      <c r="AD62" s="353"/>
      <c r="AE62" s="481"/>
      <c r="AF62" s="482"/>
      <c r="AG62" s="328"/>
      <c r="AH62" s="328"/>
    </row>
    <row r="63" spans="1:34" s="91" customFormat="1" ht="24.95" customHeight="1" x14ac:dyDescent="0.2">
      <c r="A63" s="449">
        <v>19</v>
      </c>
      <c r="B63" s="459" t="s">
        <v>1002</v>
      </c>
      <c r="C63" s="330" t="s">
        <v>151</v>
      </c>
      <c r="D63" s="411" t="s">
        <v>152</v>
      </c>
      <c r="E63" s="411" t="s">
        <v>56</v>
      </c>
      <c r="F63" s="410" t="s">
        <v>82</v>
      </c>
      <c r="G63" s="412" t="s">
        <v>83</v>
      </c>
      <c r="H63" s="412" t="s">
        <v>33</v>
      </c>
      <c r="I63" s="470" t="s">
        <v>33</v>
      </c>
      <c r="J63" s="125">
        <v>216424.24</v>
      </c>
      <c r="K63" s="117">
        <v>0</v>
      </c>
      <c r="L63" s="117">
        <v>0</v>
      </c>
      <c r="M63" s="84">
        <v>136396</v>
      </c>
      <c r="N63" s="84">
        <v>0</v>
      </c>
      <c r="O63" s="103">
        <v>0</v>
      </c>
      <c r="P63" s="84">
        <v>136396</v>
      </c>
      <c r="Q63" s="84">
        <v>0</v>
      </c>
      <c r="R63" s="89">
        <v>0</v>
      </c>
      <c r="S63" s="84">
        <f t="shared" si="25"/>
        <v>136396</v>
      </c>
      <c r="T63" s="140">
        <f t="shared" si="19"/>
        <v>136396</v>
      </c>
      <c r="U63" s="84">
        <v>136396</v>
      </c>
      <c r="V63" s="104">
        <f>T63-U63</f>
        <v>0</v>
      </c>
      <c r="W63" s="141">
        <f>U63*0.8</f>
        <v>109116.8</v>
      </c>
      <c r="X63" s="84">
        <f>U63*0.8</f>
        <v>109116.8</v>
      </c>
      <c r="Y63" s="84">
        <f>W63-X63</f>
        <v>0</v>
      </c>
      <c r="Z63" s="187"/>
      <c r="AA63" s="187"/>
      <c r="AB63" s="189"/>
      <c r="AC63" s="253">
        <f>10229.7+15033.9+23869.3</f>
        <v>49132.899999999994</v>
      </c>
      <c r="AD63" s="84">
        <f>8183.76+13639.6</f>
        <v>21823.360000000001</v>
      </c>
      <c r="AE63" s="144">
        <f>W63-AC63-AD63</f>
        <v>38160.540000000008</v>
      </c>
      <c r="AF63" s="105"/>
      <c r="AG63" s="328">
        <f>AC63/T63</f>
        <v>0.36022244054077829</v>
      </c>
      <c r="AH63" s="328">
        <f>AD63/P63/0.8</f>
        <v>0.19999999999999998</v>
      </c>
    </row>
    <row r="64" spans="1:34" s="91" customFormat="1" ht="24.95" customHeight="1" x14ac:dyDescent="0.2">
      <c r="A64" s="449"/>
      <c r="B64" s="459"/>
      <c r="C64" s="330" t="s">
        <v>153</v>
      </c>
      <c r="D64" s="411"/>
      <c r="E64" s="411"/>
      <c r="F64" s="410"/>
      <c r="G64" s="412"/>
      <c r="H64" s="412"/>
      <c r="I64" s="470"/>
      <c r="J64" s="125">
        <v>131911.51999999999</v>
      </c>
      <c r="K64" s="117">
        <v>0</v>
      </c>
      <c r="L64" s="117">
        <v>0</v>
      </c>
      <c r="M64" s="84">
        <v>85908</v>
      </c>
      <c r="N64" s="84">
        <v>0</v>
      </c>
      <c r="O64" s="103">
        <v>0</v>
      </c>
      <c r="P64" s="84">
        <v>85908</v>
      </c>
      <c r="Q64" s="84">
        <v>0</v>
      </c>
      <c r="R64" s="89">
        <v>0</v>
      </c>
      <c r="S64" s="84">
        <f t="shared" si="25"/>
        <v>85908</v>
      </c>
      <c r="T64" s="140">
        <f t="shared" si="19"/>
        <v>85908</v>
      </c>
      <c r="U64" s="84">
        <v>85908</v>
      </c>
      <c r="V64" s="104">
        <f>T64-U64</f>
        <v>0</v>
      </c>
      <c r="W64" s="141">
        <f>U64*0.8</f>
        <v>68726.400000000009</v>
      </c>
      <c r="X64" s="84">
        <f>U64*0.8</f>
        <v>68726.400000000009</v>
      </c>
      <c r="Y64" s="84">
        <f>W64-X64</f>
        <v>0</v>
      </c>
      <c r="Z64" s="187"/>
      <c r="AA64" s="187"/>
      <c r="AB64" s="189"/>
      <c r="AC64" s="253">
        <f>6443.1</f>
        <v>6443.1</v>
      </c>
      <c r="AD64" s="84">
        <f>5154.48+8590.8</f>
        <v>13745.279999999999</v>
      </c>
      <c r="AE64" s="144">
        <f>W64-AC64-AD64</f>
        <v>48538.020000000011</v>
      </c>
      <c r="AF64" s="105"/>
      <c r="AG64" s="328">
        <f>AC64/T64</f>
        <v>7.5000000000000011E-2</v>
      </c>
      <c r="AH64" s="328">
        <f>AD64/P64/0.8</f>
        <v>0.19999999999999996</v>
      </c>
    </row>
    <row r="65" spans="1:34" s="91" customFormat="1" ht="24.95" customHeight="1" x14ac:dyDescent="0.2">
      <c r="A65" s="449"/>
      <c r="B65" s="459"/>
      <c r="C65" s="332" t="s">
        <v>154</v>
      </c>
      <c r="D65" s="411"/>
      <c r="E65" s="411"/>
      <c r="F65" s="410"/>
      <c r="G65" s="412"/>
      <c r="H65" s="412"/>
      <c r="I65" s="470"/>
      <c r="J65" s="128"/>
      <c r="K65" s="118"/>
      <c r="L65" s="118"/>
      <c r="M65" s="113"/>
      <c r="N65" s="116"/>
      <c r="O65" s="136"/>
      <c r="P65" s="113"/>
      <c r="Q65" s="116"/>
      <c r="R65" s="116"/>
      <c r="S65" s="116"/>
      <c r="T65" s="122"/>
      <c r="U65" s="116"/>
      <c r="V65" s="131"/>
      <c r="W65" s="142"/>
      <c r="X65" s="116"/>
      <c r="Y65" s="116"/>
      <c r="Z65" s="187"/>
      <c r="AA65" s="187"/>
      <c r="AB65" s="189"/>
      <c r="AC65" s="116"/>
      <c r="AD65" s="116"/>
      <c r="AE65" s="145"/>
      <c r="AF65" s="134"/>
      <c r="AG65" s="328"/>
      <c r="AH65" s="328"/>
    </row>
    <row r="66" spans="1:34" s="91" customFormat="1" ht="24.95" customHeight="1" x14ac:dyDescent="0.2">
      <c r="A66" s="449"/>
      <c r="B66" s="459"/>
      <c r="C66" s="332" t="s">
        <v>155</v>
      </c>
      <c r="D66" s="411"/>
      <c r="E66" s="411"/>
      <c r="F66" s="410"/>
      <c r="G66" s="412"/>
      <c r="H66" s="412"/>
      <c r="I66" s="470"/>
      <c r="J66" s="128"/>
      <c r="K66" s="118"/>
      <c r="L66" s="118"/>
      <c r="M66" s="11"/>
      <c r="N66" s="84"/>
      <c r="O66" s="103"/>
      <c r="P66" s="11"/>
      <c r="Q66" s="84"/>
      <c r="R66" s="116"/>
      <c r="S66" s="116"/>
      <c r="T66" s="122"/>
      <c r="U66" s="116"/>
      <c r="V66" s="131"/>
      <c r="W66" s="142"/>
      <c r="X66" s="116"/>
      <c r="Y66" s="116"/>
      <c r="Z66" s="187"/>
      <c r="AA66" s="187"/>
      <c r="AB66" s="189"/>
      <c r="AC66" s="116"/>
      <c r="AD66" s="116"/>
      <c r="AE66" s="145"/>
      <c r="AF66" s="134"/>
      <c r="AG66" s="328"/>
      <c r="AH66" s="328"/>
    </row>
    <row r="67" spans="1:34" s="91" customFormat="1" ht="24.95" customHeight="1" x14ac:dyDescent="0.2">
      <c r="A67" s="449"/>
      <c r="B67" s="459"/>
      <c r="C67" s="12" t="s">
        <v>156</v>
      </c>
      <c r="D67" s="411"/>
      <c r="E67" s="411"/>
      <c r="F67" s="410"/>
      <c r="G67" s="412"/>
      <c r="H67" s="412"/>
      <c r="I67" s="470"/>
      <c r="J67" s="125">
        <v>201849.62</v>
      </c>
      <c r="K67" s="117">
        <v>0</v>
      </c>
      <c r="L67" s="117">
        <v>0</v>
      </c>
      <c r="M67" s="84">
        <v>106442</v>
      </c>
      <c r="N67" s="84">
        <v>0</v>
      </c>
      <c r="O67" s="103">
        <v>0</v>
      </c>
      <c r="P67" s="84">
        <v>106442</v>
      </c>
      <c r="Q67" s="84">
        <v>0</v>
      </c>
      <c r="R67" s="89">
        <v>0</v>
      </c>
      <c r="S67" s="84">
        <f t="shared" ref="S67:S71" si="27">P67+Q67</f>
        <v>106442</v>
      </c>
      <c r="T67" s="140">
        <f t="shared" ref="T67:T71" si="28">S67</f>
        <v>106442</v>
      </c>
      <c r="U67" s="84">
        <v>106442</v>
      </c>
      <c r="V67" s="104">
        <f>T67-U67</f>
        <v>0</v>
      </c>
      <c r="W67" s="141">
        <f>U67*0.8</f>
        <v>85153.600000000006</v>
      </c>
      <c r="X67" s="84">
        <f>U67*0.8</f>
        <v>85153.600000000006</v>
      </c>
      <c r="Y67" s="84">
        <f>W67-X67</f>
        <v>0</v>
      </c>
      <c r="Z67" s="187"/>
      <c r="AA67" s="187"/>
      <c r="AB67" s="189"/>
      <c r="AC67" s="84">
        <f>7983.15+18627.35</f>
        <v>26610.5</v>
      </c>
      <c r="AD67" s="84">
        <f>6386.52+10644.2</f>
        <v>17030.72</v>
      </c>
      <c r="AE67" s="144">
        <f>W67-AC67-AD67</f>
        <v>41512.380000000005</v>
      </c>
      <c r="AF67" s="105"/>
      <c r="AG67" s="328">
        <f>AC67/T67</f>
        <v>0.25</v>
      </c>
      <c r="AH67" s="328">
        <f>AD67/P67/0.8</f>
        <v>0.19999999999999998</v>
      </c>
    </row>
    <row r="68" spans="1:34" s="91" customFormat="1" ht="24.95" customHeight="1" x14ac:dyDescent="0.2">
      <c r="A68" s="449"/>
      <c r="B68" s="459"/>
      <c r="C68" s="12" t="s">
        <v>157</v>
      </c>
      <c r="D68" s="411"/>
      <c r="E68" s="411"/>
      <c r="F68" s="410"/>
      <c r="G68" s="412"/>
      <c r="H68" s="412"/>
      <c r="I68" s="470"/>
      <c r="J68" s="135">
        <v>159798.84</v>
      </c>
      <c r="K68" s="117">
        <v>0</v>
      </c>
      <c r="L68" s="117">
        <v>0</v>
      </c>
      <c r="M68" s="84">
        <v>87500</v>
      </c>
      <c r="N68" s="84">
        <v>0</v>
      </c>
      <c r="O68" s="103">
        <v>0</v>
      </c>
      <c r="P68" s="84">
        <v>87500</v>
      </c>
      <c r="Q68" s="84">
        <v>0</v>
      </c>
      <c r="R68" s="89">
        <v>0</v>
      </c>
      <c r="S68" s="84">
        <f t="shared" si="27"/>
        <v>87500</v>
      </c>
      <c r="T68" s="140">
        <f t="shared" si="28"/>
        <v>87500</v>
      </c>
      <c r="U68" s="84">
        <v>87500</v>
      </c>
      <c r="V68" s="104">
        <f>T68-U68</f>
        <v>0</v>
      </c>
      <c r="W68" s="141">
        <f>U68*0.8</f>
        <v>70000</v>
      </c>
      <c r="X68" s="84">
        <f>U68*0.8</f>
        <v>70000</v>
      </c>
      <c r="Y68" s="84">
        <f>W68-X68</f>
        <v>0</v>
      </c>
      <c r="Z68" s="187"/>
      <c r="AA68" s="187"/>
      <c r="AB68" s="189"/>
      <c r="AC68" s="84">
        <f>6562.5+15312.5</f>
        <v>21875</v>
      </c>
      <c r="AD68" s="84">
        <f>5250+8750</f>
        <v>14000</v>
      </c>
      <c r="AE68" s="144">
        <f>W68-AC68-AD68</f>
        <v>34125</v>
      </c>
      <c r="AF68" s="105"/>
      <c r="AG68" s="328">
        <f>AC68/T68</f>
        <v>0.25</v>
      </c>
      <c r="AH68" s="328">
        <f>AD68/P68/0.8</f>
        <v>0.19999999999999998</v>
      </c>
    </row>
    <row r="69" spans="1:34" s="91" customFormat="1" ht="24.95" customHeight="1" x14ac:dyDescent="0.2">
      <c r="A69" s="449"/>
      <c r="B69" s="459"/>
      <c r="C69" s="332" t="s">
        <v>158</v>
      </c>
      <c r="D69" s="411"/>
      <c r="E69" s="411"/>
      <c r="F69" s="410"/>
      <c r="G69" s="412"/>
      <c r="H69" s="412"/>
      <c r="I69" s="470"/>
      <c r="J69" s="128"/>
      <c r="K69" s="118"/>
      <c r="L69" s="118"/>
      <c r="M69" s="113"/>
      <c r="N69" s="116"/>
      <c r="O69" s="136"/>
      <c r="P69" s="137"/>
      <c r="Q69" s="116"/>
      <c r="R69" s="116"/>
      <c r="S69" s="116"/>
      <c r="T69" s="122"/>
      <c r="U69" s="116"/>
      <c r="V69" s="131"/>
      <c r="W69" s="142"/>
      <c r="X69" s="116"/>
      <c r="Y69" s="116"/>
      <c r="Z69" s="187"/>
      <c r="AA69" s="187"/>
      <c r="AB69" s="189"/>
      <c r="AC69" s="116"/>
      <c r="AD69" s="116"/>
      <c r="AE69" s="145"/>
      <c r="AF69" s="134"/>
      <c r="AG69" s="328"/>
      <c r="AH69" s="328"/>
    </row>
    <row r="70" spans="1:34" s="91" customFormat="1" ht="24.95" customHeight="1" x14ac:dyDescent="0.2">
      <c r="A70" s="449"/>
      <c r="B70" s="459"/>
      <c r="C70" s="12" t="s">
        <v>1001</v>
      </c>
      <c r="D70" s="411"/>
      <c r="E70" s="411"/>
      <c r="F70" s="410"/>
      <c r="G70" s="412"/>
      <c r="H70" s="412"/>
      <c r="I70" s="470"/>
      <c r="J70" s="125">
        <v>29949.08</v>
      </c>
      <c r="K70" s="117">
        <v>0</v>
      </c>
      <c r="L70" s="117">
        <v>0</v>
      </c>
      <c r="M70" s="84">
        <v>12266</v>
      </c>
      <c r="N70" s="84">
        <v>0</v>
      </c>
      <c r="O70" s="103">
        <v>0</v>
      </c>
      <c r="P70" s="88">
        <f t="shared" ref="P70:P78" si="29">M70</f>
        <v>12266</v>
      </c>
      <c r="Q70" s="84">
        <f t="shared" ref="Q70:Q78" si="30">N70</f>
        <v>0</v>
      </c>
      <c r="R70" s="84">
        <f t="shared" ref="R70:R78" si="31">O70</f>
        <v>0</v>
      </c>
      <c r="S70" s="84">
        <f t="shared" si="27"/>
        <v>12266</v>
      </c>
      <c r="T70" s="140">
        <f t="shared" si="28"/>
        <v>12266</v>
      </c>
      <c r="U70" s="84">
        <v>0</v>
      </c>
      <c r="V70" s="104">
        <f>T70-U70</f>
        <v>12266</v>
      </c>
      <c r="W70" s="141">
        <f t="shared" ref="W70:X72" si="32">T70*0.8</f>
        <v>9812.8000000000011</v>
      </c>
      <c r="X70" s="84">
        <f t="shared" si="32"/>
        <v>0</v>
      </c>
      <c r="Y70" s="84">
        <f>W70-X70</f>
        <v>9812.8000000000011</v>
      </c>
      <c r="Z70" s="187"/>
      <c r="AA70" s="187"/>
      <c r="AB70" s="189"/>
      <c r="AC70" s="84"/>
      <c r="AD70" s="84"/>
      <c r="AE70" s="144">
        <f>W70-AC70-AD70</f>
        <v>9812.8000000000011</v>
      </c>
      <c r="AF70" s="133"/>
      <c r="AG70" s="328"/>
      <c r="AH70" s="328"/>
    </row>
    <row r="71" spans="1:34" s="91" customFormat="1" ht="24.95" customHeight="1" x14ac:dyDescent="0.2">
      <c r="A71" s="449"/>
      <c r="B71" s="459"/>
      <c r="C71" s="12" t="s">
        <v>1003</v>
      </c>
      <c r="D71" s="411"/>
      <c r="E71" s="411"/>
      <c r="F71" s="410"/>
      <c r="G71" s="412"/>
      <c r="H71" s="412"/>
      <c r="I71" s="470"/>
      <c r="J71" s="125">
        <v>33656.65</v>
      </c>
      <c r="K71" s="117">
        <v>0</v>
      </c>
      <c r="L71" s="117">
        <v>0</v>
      </c>
      <c r="M71" s="84">
        <v>14815</v>
      </c>
      <c r="N71" s="84">
        <v>0</v>
      </c>
      <c r="O71" s="103">
        <v>0</v>
      </c>
      <c r="P71" s="88">
        <f t="shared" si="29"/>
        <v>14815</v>
      </c>
      <c r="Q71" s="84">
        <f t="shared" si="30"/>
        <v>0</v>
      </c>
      <c r="R71" s="84">
        <f t="shared" si="31"/>
        <v>0</v>
      </c>
      <c r="S71" s="84">
        <f t="shared" si="27"/>
        <v>14815</v>
      </c>
      <c r="T71" s="140">
        <f t="shared" si="28"/>
        <v>14815</v>
      </c>
      <c r="U71" s="84">
        <v>0</v>
      </c>
      <c r="V71" s="104">
        <f>T71-U71</f>
        <v>14815</v>
      </c>
      <c r="W71" s="141">
        <f t="shared" si="32"/>
        <v>11852</v>
      </c>
      <c r="X71" s="84">
        <f t="shared" si="32"/>
        <v>0</v>
      </c>
      <c r="Y71" s="84">
        <f>W71-X71</f>
        <v>11852</v>
      </c>
      <c r="Z71" s="187"/>
      <c r="AA71" s="187"/>
      <c r="AB71" s="189"/>
      <c r="AC71" s="84"/>
      <c r="AD71" s="84"/>
      <c r="AE71" s="144">
        <f>W71-AC71-AD71</f>
        <v>11852</v>
      </c>
      <c r="AF71" s="133"/>
      <c r="AG71" s="328"/>
      <c r="AH71" s="328"/>
    </row>
    <row r="72" spans="1:34" s="91" customFormat="1" ht="24.95" customHeight="1" x14ac:dyDescent="0.2">
      <c r="A72" s="449">
        <v>21</v>
      </c>
      <c r="B72" s="459" t="s">
        <v>641</v>
      </c>
      <c r="C72" s="12" t="s">
        <v>159</v>
      </c>
      <c r="D72" s="12" t="s">
        <v>160</v>
      </c>
      <c r="E72" s="410" t="s">
        <v>97</v>
      </c>
      <c r="F72" s="410" t="s">
        <v>98</v>
      </c>
      <c r="G72" s="412" t="s">
        <v>99</v>
      </c>
      <c r="H72" s="412" t="s">
        <v>33</v>
      </c>
      <c r="I72" s="470" t="s">
        <v>33</v>
      </c>
      <c r="J72" s="88">
        <v>60151</v>
      </c>
      <c r="K72" s="84">
        <v>21264</v>
      </c>
      <c r="L72" s="117">
        <v>0</v>
      </c>
      <c r="M72" s="139">
        <v>25453.22</v>
      </c>
      <c r="N72" s="117">
        <v>0</v>
      </c>
      <c r="O72" s="117">
        <v>0</v>
      </c>
      <c r="P72" s="88">
        <f t="shared" si="29"/>
        <v>25453.22</v>
      </c>
      <c r="Q72" s="84">
        <f t="shared" si="30"/>
        <v>0</v>
      </c>
      <c r="R72" s="84">
        <f t="shared" si="31"/>
        <v>0</v>
      </c>
      <c r="S72" s="353">
        <f>P72+P73+P74+P75+Q72+Q73+Q74+Q75+R75+R74+R73+R72</f>
        <v>162898.49</v>
      </c>
      <c r="T72" s="340">
        <f>S72</f>
        <v>162898.49</v>
      </c>
      <c r="U72" s="84">
        <v>37590</v>
      </c>
      <c r="V72" s="351">
        <f>T72-U72-U73</f>
        <v>0</v>
      </c>
      <c r="W72" s="360">
        <f t="shared" si="32"/>
        <v>130318.792</v>
      </c>
      <c r="X72" s="84">
        <f t="shared" si="32"/>
        <v>30072</v>
      </c>
      <c r="Y72" s="337">
        <f>W72-X72-X73</f>
        <v>0</v>
      </c>
      <c r="Z72" s="184" t="s">
        <v>34</v>
      </c>
      <c r="AA72" s="184" t="s">
        <v>35</v>
      </c>
      <c r="AB72" s="42">
        <f>(0.655+0.543+1.451+1.521)*1500</f>
        <v>6255</v>
      </c>
      <c r="AC72" s="353">
        <f>7518+31327.12</f>
        <v>38845.119999999995</v>
      </c>
      <c r="AD72" s="353">
        <f>6014.4+18928.56</f>
        <v>24942.959999999999</v>
      </c>
      <c r="AE72" s="481">
        <f>W72-AC72-AD72-AB72-AB73</f>
        <v>59525.712</v>
      </c>
      <c r="AF72" s="482"/>
      <c r="AG72" s="328">
        <f>AC72/T72</f>
        <v>0.23846212448009799</v>
      </c>
      <c r="AH72" s="328">
        <f>AD72/W72</f>
        <v>0.19139956423168808</v>
      </c>
    </row>
    <row r="73" spans="1:34" s="91" customFormat="1" ht="24.95" customHeight="1" x14ac:dyDescent="0.2">
      <c r="A73" s="449"/>
      <c r="B73" s="459"/>
      <c r="C73" s="12" t="s">
        <v>161</v>
      </c>
      <c r="D73" s="12" t="s">
        <v>162</v>
      </c>
      <c r="E73" s="410"/>
      <c r="F73" s="410"/>
      <c r="G73" s="412"/>
      <c r="H73" s="412"/>
      <c r="I73" s="470"/>
      <c r="J73" s="88">
        <v>53707</v>
      </c>
      <c r="K73" s="84">
        <v>8296</v>
      </c>
      <c r="L73" s="117">
        <v>0</v>
      </c>
      <c r="M73" s="139">
        <v>22789.48</v>
      </c>
      <c r="N73" s="117">
        <v>0</v>
      </c>
      <c r="O73" s="117">
        <v>0</v>
      </c>
      <c r="P73" s="88">
        <f t="shared" si="29"/>
        <v>22789.48</v>
      </c>
      <c r="Q73" s="84">
        <f t="shared" si="30"/>
        <v>0</v>
      </c>
      <c r="R73" s="84">
        <f t="shared" si="31"/>
        <v>0</v>
      </c>
      <c r="S73" s="353"/>
      <c r="T73" s="356"/>
      <c r="U73" s="101">
        <v>125308.49</v>
      </c>
      <c r="V73" s="351"/>
      <c r="W73" s="360"/>
      <c r="X73" s="84">
        <f>U73*0.8</f>
        <v>100246.79200000002</v>
      </c>
      <c r="Y73" s="359"/>
      <c r="Z73" s="184" t="s">
        <v>34</v>
      </c>
      <c r="AA73" s="184" t="s">
        <v>36</v>
      </c>
      <c r="AB73" s="42">
        <f>(1+2+2)*150</f>
        <v>750</v>
      </c>
      <c r="AC73" s="353"/>
      <c r="AD73" s="353"/>
      <c r="AE73" s="481"/>
      <c r="AF73" s="482"/>
      <c r="AG73" s="328"/>
      <c r="AH73" s="328"/>
    </row>
    <row r="74" spans="1:34" s="91" customFormat="1" ht="24.95" customHeight="1" x14ac:dyDescent="0.2">
      <c r="A74" s="449"/>
      <c r="B74" s="459"/>
      <c r="C74" s="12" t="s">
        <v>163</v>
      </c>
      <c r="D74" s="12" t="s">
        <v>164</v>
      </c>
      <c r="E74" s="410"/>
      <c r="F74" s="410"/>
      <c r="G74" s="412"/>
      <c r="H74" s="412"/>
      <c r="I74" s="470"/>
      <c r="J74" s="88">
        <v>134292</v>
      </c>
      <c r="K74" s="84">
        <v>22677</v>
      </c>
      <c r="L74" s="117">
        <v>0</v>
      </c>
      <c r="M74" s="139">
        <v>48870.03</v>
      </c>
      <c r="N74" s="117">
        <v>0</v>
      </c>
      <c r="O74" s="117">
        <v>0</v>
      </c>
      <c r="P74" s="88">
        <f t="shared" si="29"/>
        <v>48870.03</v>
      </c>
      <c r="Q74" s="84">
        <f t="shared" si="30"/>
        <v>0</v>
      </c>
      <c r="R74" s="84">
        <f t="shared" si="31"/>
        <v>0</v>
      </c>
      <c r="S74" s="353"/>
      <c r="T74" s="356"/>
      <c r="U74" s="102"/>
      <c r="V74" s="351"/>
      <c r="W74" s="360"/>
      <c r="X74" s="116"/>
      <c r="Y74" s="359"/>
      <c r="Z74" s="187"/>
      <c r="AA74" s="187"/>
      <c r="AB74" s="189"/>
      <c r="AC74" s="353"/>
      <c r="AD74" s="353"/>
      <c r="AE74" s="481"/>
      <c r="AF74" s="482"/>
      <c r="AG74" s="328"/>
      <c r="AH74" s="328"/>
    </row>
    <row r="75" spans="1:34" s="91" customFormat="1" ht="24.95" customHeight="1" x14ac:dyDescent="0.2">
      <c r="A75" s="449"/>
      <c r="B75" s="459"/>
      <c r="C75" s="12" t="s">
        <v>165</v>
      </c>
      <c r="D75" s="12" t="s">
        <v>166</v>
      </c>
      <c r="E75" s="410"/>
      <c r="F75" s="410"/>
      <c r="G75" s="412"/>
      <c r="H75" s="412"/>
      <c r="I75" s="470"/>
      <c r="J75" s="88">
        <v>170133</v>
      </c>
      <c r="K75" s="84">
        <v>22641</v>
      </c>
      <c r="L75" s="117">
        <v>0</v>
      </c>
      <c r="M75" s="139">
        <v>65785.759999999995</v>
      </c>
      <c r="N75" s="117">
        <v>0</v>
      </c>
      <c r="O75" s="117">
        <v>0</v>
      </c>
      <c r="P75" s="88">
        <f t="shared" si="29"/>
        <v>65785.759999999995</v>
      </c>
      <c r="Q75" s="84">
        <f t="shared" si="30"/>
        <v>0</v>
      </c>
      <c r="R75" s="84">
        <f t="shared" si="31"/>
        <v>0</v>
      </c>
      <c r="S75" s="353"/>
      <c r="T75" s="341"/>
      <c r="U75" s="102"/>
      <c r="V75" s="351"/>
      <c r="W75" s="360"/>
      <c r="X75" s="116"/>
      <c r="Y75" s="339"/>
      <c r="Z75" s="187"/>
      <c r="AA75" s="187"/>
      <c r="AB75" s="189"/>
      <c r="AC75" s="353"/>
      <c r="AD75" s="353"/>
      <c r="AE75" s="481"/>
      <c r="AF75" s="482"/>
      <c r="AG75" s="328"/>
      <c r="AH75" s="328"/>
    </row>
    <row r="76" spans="1:34" s="91" customFormat="1" ht="24.95" customHeight="1" x14ac:dyDescent="0.2">
      <c r="A76" s="449"/>
      <c r="B76" s="459" t="s">
        <v>167</v>
      </c>
      <c r="C76" s="12" t="s">
        <v>168</v>
      </c>
      <c r="D76" s="12" t="s">
        <v>169</v>
      </c>
      <c r="E76" s="410"/>
      <c r="F76" s="410"/>
      <c r="G76" s="412"/>
      <c r="H76" s="412"/>
      <c r="I76" s="470"/>
      <c r="J76" s="88">
        <v>65059</v>
      </c>
      <c r="K76" s="84">
        <v>9499</v>
      </c>
      <c r="L76" s="117">
        <v>0</v>
      </c>
      <c r="M76" s="139">
        <v>26407.66</v>
      </c>
      <c r="N76" s="117">
        <v>0</v>
      </c>
      <c r="O76" s="117">
        <v>0</v>
      </c>
      <c r="P76" s="88">
        <f t="shared" si="29"/>
        <v>26407.66</v>
      </c>
      <c r="Q76" s="84">
        <f t="shared" si="30"/>
        <v>0</v>
      </c>
      <c r="R76" s="84">
        <f t="shared" si="31"/>
        <v>0</v>
      </c>
      <c r="S76" s="353">
        <f>P76+P77+P78+Q78+Q77+Q76+R76+R77+R78</f>
        <v>147086.22</v>
      </c>
      <c r="T76" s="340">
        <f>S76</f>
        <v>147086.22</v>
      </c>
      <c r="U76" s="84">
        <v>147086.22</v>
      </c>
      <c r="V76" s="351">
        <f>T76-U76</f>
        <v>0</v>
      </c>
      <c r="W76" s="360">
        <f>T76*0.8</f>
        <v>117668.97600000001</v>
      </c>
      <c r="X76" s="84">
        <f>U76*0.8</f>
        <v>117668.97600000001</v>
      </c>
      <c r="Y76" s="337">
        <f>W76-X76-X77</f>
        <v>0</v>
      </c>
      <c r="Z76" s="184" t="s">
        <v>34</v>
      </c>
      <c r="AA76" s="184" t="s">
        <v>35</v>
      </c>
      <c r="AB76" s="42">
        <f>(0.71+1.22+1.085)*1500</f>
        <v>4522.4999999999991</v>
      </c>
      <c r="AC76" s="353">
        <f>36771.56</f>
        <v>36771.56</v>
      </c>
      <c r="AD76" s="353">
        <f>22809.48</f>
        <v>22809.48</v>
      </c>
      <c r="AE76" s="481">
        <f>W76-AC76-AD76-AB76</f>
        <v>53565.436000000016</v>
      </c>
      <c r="AF76" s="482"/>
      <c r="AG76" s="328">
        <f>AC76/T76</f>
        <v>0.2500000339936671</v>
      </c>
      <c r="AH76" s="328">
        <f>AD76/W76</f>
        <v>0.1938444675510731</v>
      </c>
    </row>
    <row r="77" spans="1:34" s="91" customFormat="1" ht="24.95" customHeight="1" x14ac:dyDescent="0.2">
      <c r="A77" s="449"/>
      <c r="B77" s="459"/>
      <c r="C77" s="12" t="s">
        <v>170</v>
      </c>
      <c r="D77" s="12" t="s">
        <v>171</v>
      </c>
      <c r="E77" s="410"/>
      <c r="F77" s="410"/>
      <c r="G77" s="412"/>
      <c r="H77" s="412"/>
      <c r="I77" s="470"/>
      <c r="J77" s="88">
        <v>261021</v>
      </c>
      <c r="K77" s="84">
        <v>17514</v>
      </c>
      <c r="L77" s="117">
        <v>0</v>
      </c>
      <c r="M77" s="139">
        <v>87912.65</v>
      </c>
      <c r="N77" s="117">
        <v>0</v>
      </c>
      <c r="O77" s="117">
        <v>0</v>
      </c>
      <c r="P77" s="88">
        <f t="shared" si="29"/>
        <v>87912.65</v>
      </c>
      <c r="Q77" s="84">
        <f t="shared" si="30"/>
        <v>0</v>
      </c>
      <c r="R77" s="84">
        <f t="shared" si="31"/>
        <v>0</v>
      </c>
      <c r="S77" s="353"/>
      <c r="T77" s="356"/>
      <c r="U77" s="116"/>
      <c r="V77" s="351"/>
      <c r="W77" s="360"/>
      <c r="X77" s="116"/>
      <c r="Y77" s="359"/>
      <c r="Z77" s="187"/>
      <c r="AA77" s="187"/>
      <c r="AB77" s="189"/>
      <c r="AC77" s="353"/>
      <c r="AD77" s="353"/>
      <c r="AE77" s="481"/>
      <c r="AF77" s="482"/>
      <c r="AG77" s="328"/>
      <c r="AH77" s="328"/>
    </row>
    <row r="78" spans="1:34" s="91" customFormat="1" ht="24.95" customHeight="1" x14ac:dyDescent="0.2">
      <c r="A78" s="449"/>
      <c r="B78" s="459"/>
      <c r="C78" s="12" t="s">
        <v>172</v>
      </c>
      <c r="D78" s="12" t="s">
        <v>173</v>
      </c>
      <c r="E78" s="410"/>
      <c r="F78" s="410"/>
      <c r="G78" s="412"/>
      <c r="H78" s="412"/>
      <c r="I78" s="470"/>
      <c r="J78" s="88">
        <v>83067</v>
      </c>
      <c r="K78" s="84">
        <v>15529</v>
      </c>
      <c r="L78" s="117">
        <v>0</v>
      </c>
      <c r="M78" s="139">
        <v>32765.91</v>
      </c>
      <c r="N78" s="117">
        <v>0</v>
      </c>
      <c r="O78" s="117">
        <v>0</v>
      </c>
      <c r="P78" s="88">
        <f t="shared" si="29"/>
        <v>32765.91</v>
      </c>
      <c r="Q78" s="84">
        <f t="shared" si="30"/>
        <v>0</v>
      </c>
      <c r="R78" s="84">
        <f t="shared" si="31"/>
        <v>0</v>
      </c>
      <c r="S78" s="353"/>
      <c r="T78" s="341"/>
      <c r="U78" s="116"/>
      <c r="V78" s="351"/>
      <c r="W78" s="360"/>
      <c r="X78" s="116"/>
      <c r="Y78" s="339"/>
      <c r="Z78" s="187"/>
      <c r="AA78" s="187"/>
      <c r="AB78" s="189"/>
      <c r="AC78" s="353"/>
      <c r="AD78" s="353"/>
      <c r="AE78" s="481"/>
      <c r="AF78" s="482"/>
      <c r="AG78" s="328"/>
      <c r="AH78" s="328"/>
    </row>
    <row r="79" spans="1:34" s="91" customFormat="1" ht="24.95" customHeight="1" x14ac:dyDescent="0.2">
      <c r="A79" s="449">
        <v>22</v>
      </c>
      <c r="B79" s="459" t="s">
        <v>174</v>
      </c>
      <c r="C79" s="12" t="s">
        <v>175</v>
      </c>
      <c r="D79" s="12" t="s">
        <v>176</v>
      </c>
      <c r="E79" s="411" t="s">
        <v>132</v>
      </c>
      <c r="F79" s="410" t="s">
        <v>133</v>
      </c>
      <c r="G79" s="412" t="s">
        <v>134</v>
      </c>
      <c r="H79" s="412" t="s">
        <v>33</v>
      </c>
      <c r="I79" s="470" t="s">
        <v>33</v>
      </c>
      <c r="J79" s="87">
        <v>63833.161555102502</v>
      </c>
      <c r="K79" s="89">
        <v>9017</v>
      </c>
      <c r="L79" s="117">
        <v>0</v>
      </c>
      <c r="M79" s="119">
        <v>31939.54</v>
      </c>
      <c r="N79" s="89">
        <v>9017</v>
      </c>
      <c r="O79" s="138">
        <v>0</v>
      </c>
      <c r="P79" s="88">
        <f t="shared" ref="P79:P84" si="33">M79</f>
        <v>31939.54</v>
      </c>
      <c r="Q79" s="84">
        <f t="shared" ref="Q79:Q86" si="34">N79</f>
        <v>9017</v>
      </c>
      <c r="R79" s="117">
        <v>0</v>
      </c>
      <c r="S79" s="353">
        <f>P79+P80+P81+P82+P83+P84+Q79+Q80+Q81+Q82+Q83+Q84</f>
        <v>245141.42</v>
      </c>
      <c r="T79" s="340">
        <f>S79</f>
        <v>245141.42</v>
      </c>
      <c r="U79" s="84">
        <v>38940</v>
      </c>
      <c r="V79" s="351">
        <f>T79-U79-U80</f>
        <v>49028.420000000013</v>
      </c>
      <c r="W79" s="360">
        <f>T79*0.8</f>
        <v>196113.13600000003</v>
      </c>
      <c r="X79" s="84">
        <f>U79*0.8</f>
        <v>31152</v>
      </c>
      <c r="Y79" s="353">
        <f>W79-X79-X80</f>
        <v>39222.736000000019</v>
      </c>
      <c r="Z79" s="361" t="s">
        <v>34</v>
      </c>
      <c r="AA79" s="184" t="s">
        <v>35</v>
      </c>
      <c r="AB79" s="42">
        <f>3.389*1500</f>
        <v>5083.5</v>
      </c>
      <c r="AC79" s="353"/>
      <c r="AD79" s="353"/>
      <c r="AE79" s="481">
        <f>W79-AB79-AB80-AC79-AD79</f>
        <v>190429.63600000003</v>
      </c>
      <c r="AF79" s="482"/>
      <c r="AG79" s="328"/>
      <c r="AH79" s="328"/>
    </row>
    <row r="80" spans="1:34" s="91" customFormat="1" ht="24.95" customHeight="1" x14ac:dyDescent="0.2">
      <c r="A80" s="449"/>
      <c r="B80" s="459"/>
      <c r="C80" s="12" t="s">
        <v>177</v>
      </c>
      <c r="D80" s="12" t="s">
        <v>178</v>
      </c>
      <c r="E80" s="411"/>
      <c r="F80" s="410"/>
      <c r="G80" s="412"/>
      <c r="H80" s="412"/>
      <c r="I80" s="470"/>
      <c r="J80" s="87">
        <v>54374.964044197499</v>
      </c>
      <c r="K80" s="89">
        <v>9212</v>
      </c>
      <c r="L80" s="117">
        <v>0</v>
      </c>
      <c r="M80" s="119">
        <v>27207.040000000001</v>
      </c>
      <c r="N80" s="89">
        <v>9212</v>
      </c>
      <c r="O80" s="138">
        <v>0</v>
      </c>
      <c r="P80" s="88">
        <f t="shared" si="33"/>
        <v>27207.040000000001</v>
      </c>
      <c r="Q80" s="84">
        <f t="shared" si="34"/>
        <v>9212</v>
      </c>
      <c r="R80" s="117">
        <v>0</v>
      </c>
      <c r="S80" s="353"/>
      <c r="T80" s="356"/>
      <c r="U80" s="84">
        <v>157173</v>
      </c>
      <c r="V80" s="351"/>
      <c r="W80" s="360"/>
      <c r="X80" s="84">
        <f>U80*0.8</f>
        <v>125738.40000000001</v>
      </c>
      <c r="Y80" s="353"/>
      <c r="Z80" s="361"/>
      <c r="AA80" s="184" t="s">
        <v>36</v>
      </c>
      <c r="AB80" s="42">
        <f>4*150</f>
        <v>600</v>
      </c>
      <c r="AC80" s="353"/>
      <c r="AD80" s="353"/>
      <c r="AE80" s="481"/>
      <c r="AF80" s="482"/>
      <c r="AG80" s="328"/>
      <c r="AH80" s="328"/>
    </row>
    <row r="81" spans="1:34" s="91" customFormat="1" ht="24.95" customHeight="1" x14ac:dyDescent="0.2">
      <c r="A81" s="449"/>
      <c r="B81" s="459"/>
      <c r="C81" s="12" t="s">
        <v>179</v>
      </c>
      <c r="D81" s="12" t="s">
        <v>180</v>
      </c>
      <c r="E81" s="411"/>
      <c r="F81" s="410"/>
      <c r="G81" s="412"/>
      <c r="H81" s="412"/>
      <c r="I81" s="470"/>
      <c r="J81" s="87">
        <v>30982.9691335725</v>
      </c>
      <c r="K81" s="89">
        <v>6326</v>
      </c>
      <c r="L81" s="117">
        <v>0</v>
      </c>
      <c r="M81" s="119">
        <v>15502.63</v>
      </c>
      <c r="N81" s="89">
        <v>6326</v>
      </c>
      <c r="O81" s="138">
        <v>0</v>
      </c>
      <c r="P81" s="88">
        <f t="shared" si="33"/>
        <v>15502.63</v>
      </c>
      <c r="Q81" s="84">
        <f t="shared" si="34"/>
        <v>6326</v>
      </c>
      <c r="R81" s="117">
        <v>0</v>
      </c>
      <c r="S81" s="353"/>
      <c r="T81" s="356"/>
      <c r="U81" s="84"/>
      <c r="V81" s="351"/>
      <c r="W81" s="360"/>
      <c r="X81" s="116"/>
      <c r="Y81" s="353"/>
      <c r="Z81" s="187"/>
      <c r="AA81" s="187"/>
      <c r="AB81" s="191"/>
      <c r="AC81" s="353"/>
      <c r="AD81" s="353"/>
      <c r="AE81" s="481"/>
      <c r="AF81" s="482"/>
      <c r="AG81" s="328"/>
      <c r="AH81" s="328"/>
    </row>
    <row r="82" spans="1:34" s="91" customFormat="1" ht="24.95" customHeight="1" x14ac:dyDescent="0.2">
      <c r="A82" s="449"/>
      <c r="B82" s="459"/>
      <c r="C82" s="12" t="s">
        <v>614</v>
      </c>
      <c r="D82" s="12" t="s">
        <v>181</v>
      </c>
      <c r="E82" s="411"/>
      <c r="F82" s="410"/>
      <c r="G82" s="412"/>
      <c r="H82" s="412"/>
      <c r="I82" s="470"/>
      <c r="J82" s="87">
        <v>78210.212697045004</v>
      </c>
      <c r="K82" s="89">
        <v>15138</v>
      </c>
      <c r="L82" s="117">
        <v>0</v>
      </c>
      <c r="M82" s="119">
        <v>39133.230000000003</v>
      </c>
      <c r="N82" s="89">
        <v>15138</v>
      </c>
      <c r="O82" s="138">
        <v>0</v>
      </c>
      <c r="P82" s="88">
        <f t="shared" si="33"/>
        <v>39133.230000000003</v>
      </c>
      <c r="Q82" s="84">
        <f t="shared" si="34"/>
        <v>15138</v>
      </c>
      <c r="R82" s="117">
        <v>0</v>
      </c>
      <c r="S82" s="353"/>
      <c r="T82" s="356"/>
      <c r="U82" s="116"/>
      <c r="V82" s="351"/>
      <c r="W82" s="360"/>
      <c r="X82" s="116"/>
      <c r="Y82" s="353"/>
      <c r="Z82" s="187"/>
      <c r="AA82" s="187"/>
      <c r="AB82" s="191"/>
      <c r="AC82" s="353"/>
      <c r="AD82" s="353"/>
      <c r="AE82" s="481"/>
      <c r="AF82" s="482"/>
      <c r="AG82" s="328"/>
      <c r="AH82" s="328"/>
    </row>
    <row r="83" spans="1:34" s="91" customFormat="1" ht="24.95" customHeight="1" x14ac:dyDescent="0.2">
      <c r="A83" s="449"/>
      <c r="B83" s="459"/>
      <c r="C83" s="12" t="s">
        <v>615</v>
      </c>
      <c r="D83" s="12" t="s">
        <v>182</v>
      </c>
      <c r="E83" s="411"/>
      <c r="F83" s="410"/>
      <c r="G83" s="412"/>
      <c r="H83" s="412"/>
      <c r="I83" s="470"/>
      <c r="J83" s="87">
        <v>32199.070831785</v>
      </c>
      <c r="K83" s="89">
        <v>13710</v>
      </c>
      <c r="L83" s="117">
        <v>0</v>
      </c>
      <c r="M83" s="119">
        <v>16111.04</v>
      </c>
      <c r="N83" s="89">
        <v>13710</v>
      </c>
      <c r="O83" s="138">
        <v>0</v>
      </c>
      <c r="P83" s="88">
        <f t="shared" si="33"/>
        <v>16111.04</v>
      </c>
      <c r="Q83" s="84">
        <f t="shared" si="34"/>
        <v>13710</v>
      </c>
      <c r="R83" s="117">
        <v>0</v>
      </c>
      <c r="S83" s="353"/>
      <c r="T83" s="356"/>
      <c r="U83" s="116"/>
      <c r="V83" s="351"/>
      <c r="W83" s="360"/>
      <c r="X83" s="116"/>
      <c r="Y83" s="353"/>
      <c r="Z83" s="187"/>
      <c r="AA83" s="187"/>
      <c r="AB83" s="191"/>
      <c r="AC83" s="353"/>
      <c r="AD83" s="353"/>
      <c r="AE83" s="481"/>
      <c r="AF83" s="482"/>
      <c r="AG83" s="328"/>
      <c r="AH83" s="328"/>
    </row>
    <row r="84" spans="1:34" s="91" customFormat="1" ht="24.95" customHeight="1" x14ac:dyDescent="0.2">
      <c r="A84" s="449"/>
      <c r="B84" s="459"/>
      <c r="C84" s="12" t="s">
        <v>616</v>
      </c>
      <c r="D84" s="12" t="s">
        <v>182</v>
      </c>
      <c r="E84" s="411"/>
      <c r="F84" s="410"/>
      <c r="G84" s="412"/>
      <c r="H84" s="412"/>
      <c r="I84" s="470"/>
      <c r="J84" s="87">
        <v>101915.89622181001</v>
      </c>
      <c r="K84" s="89">
        <v>10850.34</v>
      </c>
      <c r="L84" s="117">
        <v>0</v>
      </c>
      <c r="M84" s="119">
        <v>50994.6</v>
      </c>
      <c r="N84" s="89">
        <v>10850.34</v>
      </c>
      <c r="O84" s="138">
        <v>0</v>
      </c>
      <c r="P84" s="88">
        <f t="shared" si="33"/>
        <v>50994.6</v>
      </c>
      <c r="Q84" s="84">
        <f t="shared" si="34"/>
        <v>10850.34</v>
      </c>
      <c r="R84" s="117">
        <v>0</v>
      </c>
      <c r="S84" s="353"/>
      <c r="T84" s="341"/>
      <c r="U84" s="116"/>
      <c r="V84" s="351"/>
      <c r="W84" s="360"/>
      <c r="X84" s="116"/>
      <c r="Y84" s="353"/>
      <c r="Z84" s="187"/>
      <c r="AA84" s="187"/>
      <c r="AB84" s="191"/>
      <c r="AC84" s="353"/>
      <c r="AD84" s="353"/>
      <c r="AE84" s="481"/>
      <c r="AF84" s="482"/>
      <c r="AG84" s="328"/>
      <c r="AH84" s="328"/>
    </row>
    <row r="85" spans="1:34" s="91" customFormat="1" ht="24.95" customHeight="1" x14ac:dyDescent="0.2">
      <c r="A85" s="449">
        <v>23</v>
      </c>
      <c r="B85" s="460" t="s">
        <v>183</v>
      </c>
      <c r="C85" s="332" t="s">
        <v>184</v>
      </c>
      <c r="D85" s="12" t="s">
        <v>185</v>
      </c>
      <c r="E85" s="411" t="s">
        <v>186</v>
      </c>
      <c r="F85" s="410" t="s">
        <v>187</v>
      </c>
      <c r="G85" s="412" t="s">
        <v>188</v>
      </c>
      <c r="H85" s="412" t="s">
        <v>33</v>
      </c>
      <c r="I85" s="470" t="s">
        <v>33</v>
      </c>
      <c r="J85" s="125">
        <v>69293.63</v>
      </c>
      <c r="K85" s="117">
        <v>0</v>
      </c>
      <c r="L85" s="117">
        <v>0</v>
      </c>
      <c r="M85" s="139">
        <v>41807.97</v>
      </c>
      <c r="N85" s="84">
        <v>0</v>
      </c>
      <c r="O85" s="103">
        <v>0</v>
      </c>
      <c r="P85" s="88">
        <v>0</v>
      </c>
      <c r="Q85" s="84">
        <f t="shared" si="34"/>
        <v>0</v>
      </c>
      <c r="R85" s="117">
        <v>0</v>
      </c>
      <c r="S85" s="84">
        <f>Q85+Q86+Q87</f>
        <v>0</v>
      </c>
      <c r="T85" s="140">
        <f>S85</f>
        <v>0</v>
      </c>
      <c r="U85" s="84">
        <v>0</v>
      </c>
      <c r="V85" s="132">
        <f>T85-U85</f>
        <v>0</v>
      </c>
      <c r="W85" s="141"/>
      <c r="X85" s="116"/>
      <c r="Y85" s="84">
        <f>W85-X85</f>
        <v>0</v>
      </c>
      <c r="Z85" s="184" t="s">
        <v>34</v>
      </c>
      <c r="AA85" s="184" t="s">
        <v>36</v>
      </c>
      <c r="AB85" s="42">
        <f>1*150</f>
        <v>150</v>
      </c>
      <c r="AC85" s="101"/>
      <c r="AD85" s="101"/>
      <c r="AE85" s="146"/>
      <c r="AF85" s="486" t="s">
        <v>189</v>
      </c>
      <c r="AG85" s="328"/>
      <c r="AH85" s="328"/>
    </row>
    <row r="86" spans="1:34" s="91" customFormat="1" ht="24.95" customHeight="1" x14ac:dyDescent="0.2">
      <c r="A86" s="449"/>
      <c r="B86" s="460"/>
      <c r="C86" s="332" t="s">
        <v>190</v>
      </c>
      <c r="D86" s="12" t="s">
        <v>191</v>
      </c>
      <c r="E86" s="411"/>
      <c r="F86" s="410"/>
      <c r="G86" s="412"/>
      <c r="H86" s="412"/>
      <c r="I86" s="470"/>
      <c r="J86" s="125">
        <v>85178.21</v>
      </c>
      <c r="K86" s="117">
        <v>0</v>
      </c>
      <c r="L86" s="117">
        <v>0</v>
      </c>
      <c r="M86" s="139">
        <v>57443.98</v>
      </c>
      <c r="N86" s="84">
        <v>0</v>
      </c>
      <c r="O86" s="103">
        <v>0</v>
      </c>
      <c r="P86" s="88">
        <v>0</v>
      </c>
      <c r="Q86" s="84">
        <f t="shared" si="34"/>
        <v>0</v>
      </c>
      <c r="R86" s="117">
        <v>0</v>
      </c>
      <c r="S86" s="84">
        <f>Q86+Q87+Q88</f>
        <v>0</v>
      </c>
      <c r="T86" s="140">
        <f>S86</f>
        <v>0</v>
      </c>
      <c r="U86" s="84">
        <v>0</v>
      </c>
      <c r="V86" s="132">
        <f>T86-U86</f>
        <v>0</v>
      </c>
      <c r="W86" s="141"/>
      <c r="X86" s="116"/>
      <c r="Y86" s="84">
        <f>W86-X86</f>
        <v>0</v>
      </c>
      <c r="Z86" s="184" t="s">
        <v>34</v>
      </c>
      <c r="AA86" s="184" t="s">
        <v>36</v>
      </c>
      <c r="AB86" s="42">
        <f>3*150</f>
        <v>450</v>
      </c>
      <c r="AC86" s="101"/>
      <c r="AD86" s="101"/>
      <c r="AE86" s="146"/>
      <c r="AF86" s="486"/>
      <c r="AG86" s="328"/>
      <c r="AH86" s="328"/>
    </row>
    <row r="87" spans="1:34" s="91" customFormat="1" ht="24.95" customHeight="1" x14ac:dyDescent="0.2">
      <c r="A87" s="449"/>
      <c r="B87" s="460"/>
      <c r="C87" s="411" t="s">
        <v>192</v>
      </c>
      <c r="D87" s="411" t="s">
        <v>193</v>
      </c>
      <c r="E87" s="411"/>
      <c r="F87" s="410"/>
      <c r="G87" s="412"/>
      <c r="H87" s="412"/>
      <c r="I87" s="470"/>
      <c r="J87" s="475">
        <v>691297</v>
      </c>
      <c r="K87" s="349">
        <v>0</v>
      </c>
      <c r="L87" s="349">
        <v>0</v>
      </c>
      <c r="M87" s="414">
        <v>183039.85</v>
      </c>
      <c r="N87" s="337">
        <v>0</v>
      </c>
      <c r="O87" s="346">
        <v>0</v>
      </c>
      <c r="P87" s="344">
        <f>M87</f>
        <v>183039.85</v>
      </c>
      <c r="Q87" s="353">
        <f>N87</f>
        <v>0</v>
      </c>
      <c r="R87" s="337">
        <f>K87</f>
        <v>0</v>
      </c>
      <c r="S87" s="337">
        <f>P87+Q87+R87</f>
        <v>183039.85</v>
      </c>
      <c r="T87" s="340">
        <f>S87</f>
        <v>183039.85</v>
      </c>
      <c r="U87" s="84">
        <v>28150</v>
      </c>
      <c r="V87" s="413">
        <f>T87-U87-U88</f>
        <v>154889.85</v>
      </c>
      <c r="W87" s="360">
        <f>T87*0.8</f>
        <v>146431.88</v>
      </c>
      <c r="X87" s="84">
        <f>U87*0.8</f>
        <v>22520</v>
      </c>
      <c r="Y87" s="337">
        <f>W87-X87</f>
        <v>123911.88</v>
      </c>
      <c r="Z87" s="184" t="s">
        <v>34</v>
      </c>
      <c r="AA87" s="184" t="s">
        <v>36</v>
      </c>
      <c r="AB87" s="42">
        <f>5*150</f>
        <v>750</v>
      </c>
      <c r="AC87" s="357"/>
      <c r="AD87" s="357"/>
      <c r="AE87" s="342">
        <f>W87-AB87-AC87-AD87</f>
        <v>145681.88</v>
      </c>
      <c r="AF87" s="486"/>
      <c r="AG87" s="328"/>
      <c r="AH87" s="328"/>
    </row>
    <row r="88" spans="1:34" s="91" customFormat="1" ht="24.95" customHeight="1" x14ac:dyDescent="0.2">
      <c r="A88" s="449"/>
      <c r="B88" s="460"/>
      <c r="C88" s="411"/>
      <c r="D88" s="411"/>
      <c r="E88" s="411"/>
      <c r="F88" s="410"/>
      <c r="G88" s="412"/>
      <c r="H88" s="412"/>
      <c r="I88" s="470"/>
      <c r="J88" s="475"/>
      <c r="K88" s="350"/>
      <c r="L88" s="350"/>
      <c r="M88" s="415"/>
      <c r="N88" s="339"/>
      <c r="O88" s="348"/>
      <c r="P88" s="345"/>
      <c r="Q88" s="353"/>
      <c r="R88" s="339"/>
      <c r="S88" s="339"/>
      <c r="T88" s="341"/>
      <c r="U88" s="108">
        <v>0</v>
      </c>
      <c r="V88" s="413"/>
      <c r="W88" s="360"/>
      <c r="X88" s="84"/>
      <c r="Y88" s="339"/>
      <c r="Z88" s="187"/>
      <c r="AA88" s="187"/>
      <c r="AB88" s="191"/>
      <c r="AC88" s="358"/>
      <c r="AD88" s="358"/>
      <c r="AE88" s="343"/>
      <c r="AF88" s="486"/>
      <c r="AG88" s="328"/>
      <c r="AH88" s="328"/>
    </row>
    <row r="89" spans="1:34" s="114" customFormat="1" ht="24.95" customHeight="1" x14ac:dyDescent="0.2">
      <c r="A89" s="123">
        <v>24</v>
      </c>
      <c r="B89" s="333" t="s">
        <v>194</v>
      </c>
      <c r="C89" s="120" t="s">
        <v>195</v>
      </c>
      <c r="D89" s="113" t="s">
        <v>196</v>
      </c>
      <c r="E89" s="120" t="s">
        <v>197</v>
      </c>
      <c r="F89" s="113" t="s">
        <v>198</v>
      </c>
      <c r="G89" s="96" t="s">
        <v>199</v>
      </c>
      <c r="H89" s="96" t="s">
        <v>32</v>
      </c>
      <c r="I89" s="124" t="s">
        <v>33</v>
      </c>
      <c r="J89" s="129">
        <v>898150</v>
      </c>
      <c r="K89" s="118"/>
      <c r="L89" s="118"/>
      <c r="M89" s="118"/>
      <c r="N89" s="118"/>
      <c r="O89" s="130"/>
      <c r="P89" s="128"/>
      <c r="Q89" s="116"/>
      <c r="R89" s="116"/>
      <c r="S89" s="116"/>
      <c r="T89" s="122"/>
      <c r="U89" s="116"/>
      <c r="V89" s="131"/>
      <c r="W89" s="142"/>
      <c r="X89" s="116"/>
      <c r="Y89" s="116"/>
      <c r="Z89" s="187"/>
      <c r="AA89" s="187"/>
      <c r="AB89" s="191"/>
      <c r="AC89" s="121"/>
      <c r="AD89" s="121"/>
      <c r="AE89" s="145"/>
      <c r="AF89" s="134"/>
      <c r="AG89" s="334"/>
      <c r="AH89" s="334"/>
    </row>
    <row r="90" spans="1:34" s="91" customFormat="1" ht="24.95" customHeight="1" x14ac:dyDescent="0.2">
      <c r="A90" s="449">
        <v>25</v>
      </c>
      <c r="B90" s="459" t="s">
        <v>594</v>
      </c>
      <c r="C90" s="411" t="s">
        <v>200</v>
      </c>
      <c r="D90" s="411" t="s">
        <v>201</v>
      </c>
      <c r="E90" s="411" t="s">
        <v>202</v>
      </c>
      <c r="F90" s="410" t="s">
        <v>48</v>
      </c>
      <c r="G90" s="412" t="s">
        <v>49</v>
      </c>
      <c r="H90" s="412" t="s">
        <v>32</v>
      </c>
      <c r="I90" s="470" t="s">
        <v>32</v>
      </c>
      <c r="J90" s="416">
        <v>869499.99</v>
      </c>
      <c r="K90" s="353">
        <v>69653.83</v>
      </c>
      <c r="L90" s="337">
        <v>0</v>
      </c>
      <c r="M90" s="337">
        <v>344547</v>
      </c>
      <c r="N90" s="337">
        <v>60400</v>
      </c>
      <c r="O90" s="346">
        <v>0</v>
      </c>
      <c r="P90" s="344">
        <f>M90</f>
        <v>344547</v>
      </c>
      <c r="Q90" s="353">
        <f>N90</f>
        <v>60400</v>
      </c>
      <c r="R90" s="337">
        <v>0</v>
      </c>
      <c r="S90" s="337">
        <f>P90+Q90+R90</f>
        <v>404947</v>
      </c>
      <c r="T90" s="340">
        <f>S90</f>
        <v>404947</v>
      </c>
      <c r="U90" s="84">
        <v>300000</v>
      </c>
      <c r="V90" s="351">
        <f>T90-U90-U91</f>
        <v>0</v>
      </c>
      <c r="W90" s="360">
        <f>T90*0.8</f>
        <v>323957.60000000003</v>
      </c>
      <c r="X90" s="84">
        <f>U90*0.8</f>
        <v>240000</v>
      </c>
      <c r="Y90" s="353">
        <f>W90-X90-X91</f>
        <v>0</v>
      </c>
      <c r="Z90" s="192" t="s">
        <v>42</v>
      </c>
      <c r="AA90" s="192" t="s">
        <v>36</v>
      </c>
      <c r="AB90" s="42">
        <f>7*150</f>
        <v>1050</v>
      </c>
      <c r="AC90" s="353"/>
      <c r="AD90" s="353"/>
      <c r="AE90" s="481">
        <f>W90-AB90-AB91-AC90-AD90</f>
        <v>310855.10000000003</v>
      </c>
      <c r="AF90" s="482"/>
      <c r="AG90" s="328"/>
      <c r="AH90" s="328"/>
    </row>
    <row r="91" spans="1:34" s="91" customFormat="1" ht="24.95" customHeight="1" x14ac:dyDescent="0.2">
      <c r="A91" s="449"/>
      <c r="B91" s="459"/>
      <c r="C91" s="411"/>
      <c r="D91" s="411"/>
      <c r="E91" s="411"/>
      <c r="F91" s="410"/>
      <c r="G91" s="412"/>
      <c r="H91" s="412"/>
      <c r="I91" s="470"/>
      <c r="J91" s="416"/>
      <c r="K91" s="353"/>
      <c r="L91" s="339"/>
      <c r="M91" s="339"/>
      <c r="N91" s="339"/>
      <c r="O91" s="348"/>
      <c r="P91" s="345"/>
      <c r="Q91" s="353"/>
      <c r="R91" s="339"/>
      <c r="S91" s="339"/>
      <c r="T91" s="341"/>
      <c r="U91" s="84">
        <v>104947</v>
      </c>
      <c r="V91" s="351"/>
      <c r="W91" s="360"/>
      <c r="X91" s="84">
        <f>U91*0.8</f>
        <v>83957.6</v>
      </c>
      <c r="Y91" s="353"/>
      <c r="Z91" s="192" t="s">
        <v>42</v>
      </c>
      <c r="AA91" s="192" t="s">
        <v>35</v>
      </c>
      <c r="AB91" s="42">
        <f>8.035*1500</f>
        <v>12052.5</v>
      </c>
      <c r="AC91" s="353"/>
      <c r="AD91" s="353"/>
      <c r="AE91" s="481"/>
      <c r="AF91" s="482"/>
      <c r="AG91" s="328"/>
      <c r="AH91" s="328"/>
    </row>
    <row r="92" spans="1:34" s="91" customFormat="1" ht="24.95" customHeight="1" x14ac:dyDescent="0.2">
      <c r="A92" s="449">
        <v>26</v>
      </c>
      <c r="B92" s="450" t="s">
        <v>203</v>
      </c>
      <c r="C92" s="411" t="s">
        <v>204</v>
      </c>
      <c r="D92" s="411" t="s">
        <v>736</v>
      </c>
      <c r="E92" s="461" t="s">
        <v>205</v>
      </c>
      <c r="F92" s="464" t="s">
        <v>68</v>
      </c>
      <c r="G92" s="464">
        <v>13681368593</v>
      </c>
      <c r="H92" s="412" t="s">
        <v>32</v>
      </c>
      <c r="I92" s="471" t="s">
        <v>32</v>
      </c>
      <c r="J92" s="475">
        <v>807700</v>
      </c>
      <c r="K92" s="353">
        <v>0</v>
      </c>
      <c r="L92" s="337">
        <v>0</v>
      </c>
      <c r="M92" s="337">
        <v>741049.65</v>
      </c>
      <c r="N92" s="337">
        <v>0</v>
      </c>
      <c r="O92" s="346">
        <v>0</v>
      </c>
      <c r="P92" s="344">
        <f>M92</f>
        <v>741049.65</v>
      </c>
      <c r="Q92" s="353">
        <f>N92</f>
        <v>0</v>
      </c>
      <c r="R92" s="337">
        <f>K92</f>
        <v>0</v>
      </c>
      <c r="S92" s="337">
        <f>P92+Q92+R92</f>
        <v>741049.65</v>
      </c>
      <c r="T92" s="340">
        <f>S92</f>
        <v>741049.65</v>
      </c>
      <c r="U92" s="84">
        <v>403800</v>
      </c>
      <c r="V92" s="351">
        <f>T92-U92-U93</f>
        <v>0</v>
      </c>
      <c r="W92" s="360">
        <f>T92*0.77</f>
        <v>570608.23050000006</v>
      </c>
      <c r="X92" s="84">
        <f>U92*0.77</f>
        <v>310926</v>
      </c>
      <c r="Y92" s="353">
        <f>W92-X92-X93</f>
        <v>0</v>
      </c>
      <c r="Z92" s="193"/>
      <c r="AA92" s="193"/>
      <c r="AB92" s="189"/>
      <c r="AC92" s="354">
        <f>44125.87+94999.9</f>
        <v>139125.76999999999</v>
      </c>
      <c r="AD92" s="353">
        <f>80760+50666.61</f>
        <v>131426.60999999999</v>
      </c>
      <c r="AE92" s="481">
        <f>W92-AB92-AB93-AC92-AD92</f>
        <v>300055.85050000006</v>
      </c>
      <c r="AF92" s="482"/>
      <c r="AG92" s="328">
        <f>AC92/T92</f>
        <v>0.18774149613322128</v>
      </c>
      <c r="AH92" s="328">
        <f>AD92/(P92*0.77)</f>
        <v>0.23032722448611784</v>
      </c>
    </row>
    <row r="93" spans="1:34" s="91" customFormat="1" ht="24.95" customHeight="1" thickBot="1" x14ac:dyDescent="0.25">
      <c r="A93" s="455"/>
      <c r="B93" s="451"/>
      <c r="C93" s="362"/>
      <c r="D93" s="362"/>
      <c r="E93" s="462"/>
      <c r="F93" s="465"/>
      <c r="G93" s="465"/>
      <c r="H93" s="469"/>
      <c r="I93" s="472"/>
      <c r="J93" s="394"/>
      <c r="K93" s="337"/>
      <c r="L93" s="338"/>
      <c r="M93" s="339"/>
      <c r="N93" s="339"/>
      <c r="O93" s="347"/>
      <c r="P93" s="345"/>
      <c r="Q93" s="353"/>
      <c r="R93" s="339"/>
      <c r="S93" s="339"/>
      <c r="T93" s="341"/>
      <c r="U93" s="109">
        <f>337250-0.35</f>
        <v>337249.65</v>
      </c>
      <c r="V93" s="352"/>
      <c r="W93" s="376"/>
      <c r="X93" s="109">
        <f>U93*0.77</f>
        <v>259682.23050000003</v>
      </c>
      <c r="Y93" s="337"/>
      <c r="Z93" s="194"/>
      <c r="AA93" s="194"/>
      <c r="AB93" s="195"/>
      <c r="AC93" s="355"/>
      <c r="AD93" s="337"/>
      <c r="AE93" s="484"/>
      <c r="AF93" s="483"/>
      <c r="AG93" s="328"/>
      <c r="AH93" s="328"/>
    </row>
    <row r="94" spans="1:34" s="204" customFormat="1" ht="24.95" customHeight="1" thickBot="1" x14ac:dyDescent="0.25">
      <c r="A94" s="452" t="s">
        <v>206</v>
      </c>
      <c r="B94" s="453"/>
      <c r="C94" s="453"/>
      <c r="D94" s="454"/>
      <c r="E94" s="453"/>
      <c r="F94" s="453"/>
      <c r="G94" s="453"/>
      <c r="H94" s="453"/>
      <c r="I94" s="453"/>
      <c r="J94" s="198">
        <f t="shared" ref="J94:Y94" si="35">SUM(J5:J93)</f>
        <v>15290374.429522049</v>
      </c>
      <c r="K94" s="198">
        <f t="shared" si="35"/>
        <v>1806601.2300000009</v>
      </c>
      <c r="L94" s="198">
        <f t="shared" si="35"/>
        <v>0</v>
      </c>
      <c r="M94" s="198">
        <f t="shared" si="35"/>
        <v>9183129.7425396796</v>
      </c>
      <c r="N94" s="198">
        <f t="shared" si="35"/>
        <v>1295631.8200000005</v>
      </c>
      <c r="O94" s="198">
        <f t="shared" si="35"/>
        <v>0</v>
      </c>
      <c r="P94" s="198">
        <f t="shared" si="35"/>
        <v>9083877.7925396804</v>
      </c>
      <c r="Q94" s="198">
        <f t="shared" si="35"/>
        <v>1295631.8200000005</v>
      </c>
      <c r="R94" s="198">
        <f t="shared" si="35"/>
        <v>0</v>
      </c>
      <c r="S94" s="198">
        <f t="shared" si="35"/>
        <v>10317822.98253968</v>
      </c>
      <c r="T94" s="205">
        <f t="shared" si="35"/>
        <v>10379509.612539681</v>
      </c>
      <c r="U94" s="198">
        <f t="shared" si="35"/>
        <v>9964678.5500000026</v>
      </c>
      <c r="V94" s="198">
        <f t="shared" si="35"/>
        <v>414831.0625396783</v>
      </c>
      <c r="W94" s="199">
        <f t="shared" si="35"/>
        <v>8193929.2222317439</v>
      </c>
      <c r="X94" s="198">
        <f t="shared" si="35"/>
        <v>7910342.7767000003</v>
      </c>
      <c r="Y94" s="198">
        <f t="shared" si="35"/>
        <v>283586.44553174265</v>
      </c>
      <c r="Z94" s="200"/>
      <c r="AA94" s="200"/>
      <c r="AB94" s="201">
        <f>SUM(AB5:AB93)</f>
        <v>604647.5</v>
      </c>
      <c r="AC94" s="198">
        <f>SUM(AC5:AC92)</f>
        <v>1659162.5</v>
      </c>
      <c r="AD94" s="198">
        <f>SUM(AD5:AD92)</f>
        <v>1220029.2199999997</v>
      </c>
      <c r="AE94" s="202">
        <f>SUM(AE5:AE93)</f>
        <v>4182174.8162554447</v>
      </c>
      <c r="AF94" s="203"/>
      <c r="AG94" s="335"/>
      <c r="AH94" s="335"/>
    </row>
  </sheetData>
  <sheetProtection selectLockedCells="1" selectUnlockedCells="1"/>
  <mergeCells count="428">
    <mergeCell ref="AG2:AG4"/>
    <mergeCell ref="AF54:AF62"/>
    <mergeCell ref="AF72:AF75"/>
    <mergeCell ref="AF76:AF78"/>
    <mergeCell ref="AF79:AF84"/>
    <mergeCell ref="AF85:AF88"/>
    <mergeCell ref="AF5:AF7"/>
    <mergeCell ref="AF8:AF10"/>
    <mergeCell ref="AF11:AF13"/>
    <mergeCell ref="AF14:AF16"/>
    <mergeCell ref="AF17:AF19"/>
    <mergeCell ref="AF20:AF22"/>
    <mergeCell ref="AF23:AF30"/>
    <mergeCell ref="AF34:AF38"/>
    <mergeCell ref="AF39:AF53"/>
    <mergeCell ref="AE5:AE7"/>
    <mergeCell ref="AE8:AE10"/>
    <mergeCell ref="AE11:AE13"/>
    <mergeCell ref="AE14:AE16"/>
    <mergeCell ref="AE17:AE19"/>
    <mergeCell ref="AE20:AE22"/>
    <mergeCell ref="AE28:AE30"/>
    <mergeCell ref="AF92:AF93"/>
    <mergeCell ref="AF90:AF91"/>
    <mergeCell ref="AE79:AE84"/>
    <mergeCell ref="AE90:AE91"/>
    <mergeCell ref="AE92:AE93"/>
    <mergeCell ref="AE34:AE38"/>
    <mergeCell ref="AE39:AE53"/>
    <mergeCell ref="AE54:AE62"/>
    <mergeCell ref="AE72:AE75"/>
    <mergeCell ref="AE76:AE78"/>
    <mergeCell ref="AD79:AD84"/>
    <mergeCell ref="AC5:AC7"/>
    <mergeCell ref="AC8:AC10"/>
    <mergeCell ref="AC11:AC13"/>
    <mergeCell ref="AC14:AC16"/>
    <mergeCell ref="AC17:AC19"/>
    <mergeCell ref="AC20:AC22"/>
    <mergeCell ref="AC28:AC30"/>
    <mergeCell ref="AC34:AC38"/>
    <mergeCell ref="AD5:AD7"/>
    <mergeCell ref="AD8:AD10"/>
    <mergeCell ref="AD11:AD13"/>
    <mergeCell ref="AD14:AD16"/>
    <mergeCell ref="AD17:AD19"/>
    <mergeCell ref="AD20:AD22"/>
    <mergeCell ref="AD28:AD30"/>
    <mergeCell ref="AD34:AD38"/>
    <mergeCell ref="AD39:AD53"/>
    <mergeCell ref="AC39:AC53"/>
    <mergeCell ref="AC54:AC62"/>
    <mergeCell ref="AC72:AC75"/>
    <mergeCell ref="W76:W78"/>
    <mergeCell ref="W79:W84"/>
    <mergeCell ref="W92:W93"/>
    <mergeCell ref="Y28:Y30"/>
    <mergeCell ref="X17:X19"/>
    <mergeCell ref="X26:X27"/>
    <mergeCell ref="Z5:Z6"/>
    <mergeCell ref="Z14:Z15"/>
    <mergeCell ref="Z17:Z18"/>
    <mergeCell ref="Z20:Z21"/>
    <mergeCell ref="Z39:Z40"/>
    <mergeCell ref="Z54:Z55"/>
    <mergeCell ref="Y79:Y84"/>
    <mergeCell ref="W5:W7"/>
    <mergeCell ref="W8:W10"/>
    <mergeCell ref="W11:W13"/>
    <mergeCell ref="W14:W16"/>
    <mergeCell ref="W17:W19"/>
    <mergeCell ref="W20:W22"/>
    <mergeCell ref="W26:W27"/>
    <mergeCell ref="W28:W30"/>
    <mergeCell ref="Y5:Y7"/>
    <mergeCell ref="Y8:Y10"/>
    <mergeCell ref="Y11:Y13"/>
    <mergeCell ref="Y14:Y16"/>
    <mergeCell ref="Y17:Y19"/>
    <mergeCell ref="U17:U19"/>
    <mergeCell ref="V5:V7"/>
    <mergeCell ref="V8:V10"/>
    <mergeCell ref="V11:V13"/>
    <mergeCell ref="V14:V16"/>
    <mergeCell ref="V17:V19"/>
    <mergeCell ref="V20:V22"/>
    <mergeCell ref="S5:S7"/>
    <mergeCell ref="S8:S10"/>
    <mergeCell ref="S11:S13"/>
    <mergeCell ref="S14:S16"/>
    <mergeCell ref="S17:S19"/>
    <mergeCell ref="S20:S22"/>
    <mergeCell ref="S26:S27"/>
    <mergeCell ref="S28:S30"/>
    <mergeCell ref="T5:T7"/>
    <mergeCell ref="S72:S75"/>
    <mergeCell ref="K92:K93"/>
    <mergeCell ref="K5:K7"/>
    <mergeCell ref="K8:K10"/>
    <mergeCell ref="K11:K13"/>
    <mergeCell ref="K14:K16"/>
    <mergeCell ref="P14:P16"/>
    <mergeCell ref="Q92:Q93"/>
    <mergeCell ref="R5:R7"/>
    <mergeCell ref="R8:R10"/>
    <mergeCell ref="R11:R13"/>
    <mergeCell ref="R14:R16"/>
    <mergeCell ref="R17:R19"/>
    <mergeCell ref="R20:R22"/>
    <mergeCell ref="R28:R30"/>
    <mergeCell ref="R92:R93"/>
    <mergeCell ref="Q5:Q7"/>
    <mergeCell ref="Q8:Q10"/>
    <mergeCell ref="Q11:Q13"/>
    <mergeCell ref="Q14:Q16"/>
    <mergeCell ref="Q17:Q19"/>
    <mergeCell ref="Q20:Q22"/>
    <mergeCell ref="Q26:Q27"/>
    <mergeCell ref="K17:K19"/>
    <mergeCell ref="K20:K22"/>
    <mergeCell ref="K28:K30"/>
    <mergeCell ref="I63:I71"/>
    <mergeCell ref="I17:I19"/>
    <mergeCell ref="I20:I22"/>
    <mergeCell ref="I23:I30"/>
    <mergeCell ref="I39:I53"/>
    <mergeCell ref="I54:I62"/>
    <mergeCell ref="K23:K25"/>
    <mergeCell ref="I72:I78"/>
    <mergeCell ref="I79:I84"/>
    <mergeCell ref="I85:I88"/>
    <mergeCell ref="I92:I93"/>
    <mergeCell ref="J3:J4"/>
    <mergeCell ref="J5:J7"/>
    <mergeCell ref="J8:J10"/>
    <mergeCell ref="J11:J13"/>
    <mergeCell ref="J14:J16"/>
    <mergeCell ref="J17:J19"/>
    <mergeCell ref="J20:J22"/>
    <mergeCell ref="J28:J30"/>
    <mergeCell ref="J92:J93"/>
    <mergeCell ref="I5:I7"/>
    <mergeCell ref="I8:I10"/>
    <mergeCell ref="I11:I13"/>
    <mergeCell ref="I14:I16"/>
    <mergeCell ref="I90:I91"/>
    <mergeCell ref="J87:J88"/>
    <mergeCell ref="G92:G93"/>
    <mergeCell ref="H3:H4"/>
    <mergeCell ref="H5:H7"/>
    <mergeCell ref="H8:H10"/>
    <mergeCell ref="H11:H13"/>
    <mergeCell ref="H14:H16"/>
    <mergeCell ref="H17:H19"/>
    <mergeCell ref="H20:H22"/>
    <mergeCell ref="H23:H30"/>
    <mergeCell ref="H39:H53"/>
    <mergeCell ref="H54:H62"/>
    <mergeCell ref="H63:H71"/>
    <mergeCell ref="H72:H78"/>
    <mergeCell ref="H79:H84"/>
    <mergeCell ref="H85:H88"/>
    <mergeCell ref="H92:H93"/>
    <mergeCell ref="G5:G7"/>
    <mergeCell ref="G8:G10"/>
    <mergeCell ref="G11:G13"/>
    <mergeCell ref="G14:G16"/>
    <mergeCell ref="G17:G19"/>
    <mergeCell ref="H90:H91"/>
    <mergeCell ref="E92:E93"/>
    <mergeCell ref="F3:F4"/>
    <mergeCell ref="F5:F7"/>
    <mergeCell ref="F8:F10"/>
    <mergeCell ref="F11:F13"/>
    <mergeCell ref="F14:F16"/>
    <mergeCell ref="F17:F19"/>
    <mergeCell ref="F20:F22"/>
    <mergeCell ref="F23:F30"/>
    <mergeCell ref="F39:F53"/>
    <mergeCell ref="F54:F62"/>
    <mergeCell ref="F63:F71"/>
    <mergeCell ref="F72:F78"/>
    <mergeCell ref="F79:F84"/>
    <mergeCell ref="F85:F88"/>
    <mergeCell ref="F92:F93"/>
    <mergeCell ref="E5:E7"/>
    <mergeCell ref="E8:E10"/>
    <mergeCell ref="E11:E13"/>
    <mergeCell ref="E14:E16"/>
    <mergeCell ref="E63:E71"/>
    <mergeCell ref="E17:E19"/>
    <mergeCell ref="E20:E22"/>
    <mergeCell ref="E23:E30"/>
    <mergeCell ref="B85:B88"/>
    <mergeCell ref="A90:A91"/>
    <mergeCell ref="B90:B91"/>
    <mergeCell ref="C92:C93"/>
    <mergeCell ref="D3:D4"/>
    <mergeCell ref="D5:D7"/>
    <mergeCell ref="D8:D10"/>
    <mergeCell ref="D11:D13"/>
    <mergeCell ref="D14:D16"/>
    <mergeCell ref="D17:D19"/>
    <mergeCell ref="D20:D22"/>
    <mergeCell ref="D23:D30"/>
    <mergeCell ref="D63:D71"/>
    <mergeCell ref="D92:D93"/>
    <mergeCell ref="C3:C4"/>
    <mergeCell ref="C5:C7"/>
    <mergeCell ref="C8:C10"/>
    <mergeCell ref="C11:C13"/>
    <mergeCell ref="C14:C16"/>
    <mergeCell ref="C17:C19"/>
    <mergeCell ref="C20:C22"/>
    <mergeCell ref="C26:C27"/>
    <mergeCell ref="C87:C88"/>
    <mergeCell ref="C90:C91"/>
    <mergeCell ref="A54:A62"/>
    <mergeCell ref="A63:A71"/>
    <mergeCell ref="A72:A78"/>
    <mergeCell ref="A79:A84"/>
    <mergeCell ref="B92:B93"/>
    <mergeCell ref="A94:I94"/>
    <mergeCell ref="A85:A88"/>
    <mergeCell ref="A92:A93"/>
    <mergeCell ref="B3:B4"/>
    <mergeCell ref="B5:B7"/>
    <mergeCell ref="B8:B10"/>
    <mergeCell ref="B11:B13"/>
    <mergeCell ref="B14:B16"/>
    <mergeCell ref="B17:B19"/>
    <mergeCell ref="B20:B22"/>
    <mergeCell ref="B23:B27"/>
    <mergeCell ref="B28:B30"/>
    <mergeCell ref="B34:B38"/>
    <mergeCell ref="B39:B53"/>
    <mergeCell ref="B54:B62"/>
    <mergeCell ref="B63:B71"/>
    <mergeCell ref="B72:B75"/>
    <mergeCell ref="B76:B78"/>
    <mergeCell ref="B79:B84"/>
    <mergeCell ref="A5:A7"/>
    <mergeCell ref="A8:A10"/>
    <mergeCell ref="A11:A13"/>
    <mergeCell ref="A14:A16"/>
    <mergeCell ref="A17:A19"/>
    <mergeCell ref="A20:A22"/>
    <mergeCell ref="A23:A30"/>
    <mergeCell ref="A34:A38"/>
    <mergeCell ref="A39:A53"/>
    <mergeCell ref="A1:AF1"/>
    <mergeCell ref="B2:D2"/>
    <mergeCell ref="AF2:AF4"/>
    <mergeCell ref="X3:Y3"/>
    <mergeCell ref="E3:E4"/>
    <mergeCell ref="G3:G4"/>
    <mergeCell ref="I3:I4"/>
    <mergeCell ref="K3:K4"/>
    <mergeCell ref="A2:A4"/>
    <mergeCell ref="W3:W4"/>
    <mergeCell ref="Z3:AD3"/>
    <mergeCell ref="W2:AE2"/>
    <mergeCell ref="AE3:AE4"/>
    <mergeCell ref="U3:V3"/>
    <mergeCell ref="N3:N4"/>
    <mergeCell ref="O3:O4"/>
    <mergeCell ref="E2:I2"/>
    <mergeCell ref="F90:F91"/>
    <mergeCell ref="E90:E91"/>
    <mergeCell ref="D90:D91"/>
    <mergeCell ref="W90:W91"/>
    <mergeCell ref="S90:S91"/>
    <mergeCell ref="R90:R91"/>
    <mergeCell ref="Q90:Q91"/>
    <mergeCell ref="K90:K91"/>
    <mergeCell ref="J90:J91"/>
    <mergeCell ref="V90:V91"/>
    <mergeCell ref="G90:G91"/>
    <mergeCell ref="D87:D88"/>
    <mergeCell ref="W87:W88"/>
    <mergeCell ref="V87:V88"/>
    <mergeCell ref="K87:K88"/>
    <mergeCell ref="R87:R88"/>
    <mergeCell ref="P87:P88"/>
    <mergeCell ref="O87:O88"/>
    <mergeCell ref="N87:N88"/>
    <mergeCell ref="M87:M88"/>
    <mergeCell ref="Q87:Q88"/>
    <mergeCell ref="G85:G88"/>
    <mergeCell ref="E72:E78"/>
    <mergeCell ref="E79:E84"/>
    <mergeCell ref="E85:E88"/>
    <mergeCell ref="G20:G22"/>
    <mergeCell ref="G23:G30"/>
    <mergeCell ref="G39:G53"/>
    <mergeCell ref="G54:G62"/>
    <mergeCell ref="E39:E53"/>
    <mergeCell ref="E54:E62"/>
    <mergeCell ref="G63:G71"/>
    <mergeCell ref="G72:G78"/>
    <mergeCell ref="G79:G84"/>
    <mergeCell ref="P5:P7"/>
    <mergeCell ref="L11:L13"/>
    <mergeCell ref="M11:M13"/>
    <mergeCell ref="N11:N13"/>
    <mergeCell ref="O11:O13"/>
    <mergeCell ref="P2:V2"/>
    <mergeCell ref="T3:T4"/>
    <mergeCell ref="P3:S3"/>
    <mergeCell ref="P8:P10"/>
    <mergeCell ref="P11:P13"/>
    <mergeCell ref="T8:T10"/>
    <mergeCell ref="T11:T13"/>
    <mergeCell ref="O5:O7"/>
    <mergeCell ref="N5:N7"/>
    <mergeCell ref="M5:M7"/>
    <mergeCell ref="L5:L7"/>
    <mergeCell ref="M2:O2"/>
    <mergeCell ref="L8:L10"/>
    <mergeCell ref="M8:M10"/>
    <mergeCell ref="N8:N10"/>
    <mergeCell ref="O8:O10"/>
    <mergeCell ref="L3:L4"/>
    <mergeCell ref="J2:L2"/>
    <mergeCell ref="M3:M4"/>
    <mergeCell ref="O14:O16"/>
    <mergeCell ref="N14:N16"/>
    <mergeCell ref="M14:M16"/>
    <mergeCell ref="P17:P19"/>
    <mergeCell ref="M17:M19"/>
    <mergeCell ref="N17:N19"/>
    <mergeCell ref="O17:O19"/>
    <mergeCell ref="M20:M22"/>
    <mergeCell ref="N20:N22"/>
    <mergeCell ref="O20:O22"/>
    <mergeCell ref="P20:P22"/>
    <mergeCell ref="L14:L16"/>
    <mergeCell ref="L20:L22"/>
    <mergeCell ref="L17:L19"/>
    <mergeCell ref="T14:T16"/>
    <mergeCell ref="T20:T22"/>
    <mergeCell ref="T17:T19"/>
    <mergeCell ref="Y20:Y22"/>
    <mergeCell ref="J23:J25"/>
    <mergeCell ref="J26:J27"/>
    <mergeCell ref="R26:R27"/>
    <mergeCell ref="P26:P27"/>
    <mergeCell ref="O26:O27"/>
    <mergeCell ref="N26:N27"/>
    <mergeCell ref="M26:M27"/>
    <mergeCell ref="L26:L27"/>
    <mergeCell ref="K26:K27"/>
    <mergeCell ref="S23:S25"/>
    <mergeCell ref="R23:R25"/>
    <mergeCell ref="Q23:Q25"/>
    <mergeCell ref="P23:P25"/>
    <mergeCell ref="O23:O25"/>
    <mergeCell ref="N23:N25"/>
    <mergeCell ref="M23:M25"/>
    <mergeCell ref="L23:L25"/>
    <mergeCell ref="C28:C30"/>
    <mergeCell ref="Y26:Y27"/>
    <mergeCell ref="Y23:Y25"/>
    <mergeCell ref="AE26:AE27"/>
    <mergeCell ref="AE23:AE25"/>
    <mergeCell ref="AC26:AC27"/>
    <mergeCell ref="AD26:AD27"/>
    <mergeCell ref="AD23:AD25"/>
    <mergeCell ref="AC23:AC25"/>
    <mergeCell ref="T23:T25"/>
    <mergeCell ref="V23:V25"/>
    <mergeCell ref="W23:W25"/>
    <mergeCell ref="T26:T27"/>
    <mergeCell ref="P28:P30"/>
    <mergeCell ref="O28:O30"/>
    <mergeCell ref="N28:N30"/>
    <mergeCell ref="M28:M30"/>
    <mergeCell ref="L28:L30"/>
    <mergeCell ref="T28:T30"/>
    <mergeCell ref="Q28:Q30"/>
    <mergeCell ref="V26:V27"/>
    <mergeCell ref="V28:V30"/>
    <mergeCell ref="T79:T84"/>
    <mergeCell ref="T87:T88"/>
    <mergeCell ref="S87:S88"/>
    <mergeCell ref="Y87:Y88"/>
    <mergeCell ref="AD87:AD88"/>
    <mergeCell ref="AC87:AC88"/>
    <mergeCell ref="Y54:Y62"/>
    <mergeCell ref="T76:T78"/>
    <mergeCell ref="T72:T75"/>
    <mergeCell ref="Y72:Y75"/>
    <mergeCell ref="Y76:Y78"/>
    <mergeCell ref="S76:S78"/>
    <mergeCell ref="S79:S84"/>
    <mergeCell ref="V54:V62"/>
    <mergeCell ref="V72:V75"/>
    <mergeCell ref="V76:V78"/>
    <mergeCell ref="V79:V84"/>
    <mergeCell ref="W72:W75"/>
    <mergeCell ref="Z79:Z80"/>
    <mergeCell ref="AC76:AC78"/>
    <mergeCell ref="AC79:AC84"/>
    <mergeCell ref="AD54:AD62"/>
    <mergeCell ref="AD72:AD75"/>
    <mergeCell ref="AD76:AD78"/>
    <mergeCell ref="L92:L93"/>
    <mergeCell ref="L90:L91"/>
    <mergeCell ref="T90:T91"/>
    <mergeCell ref="T92:T93"/>
    <mergeCell ref="AE87:AE88"/>
    <mergeCell ref="P90:P91"/>
    <mergeCell ref="P92:P93"/>
    <mergeCell ref="O92:O93"/>
    <mergeCell ref="N92:N93"/>
    <mergeCell ref="O90:O91"/>
    <mergeCell ref="N90:N91"/>
    <mergeCell ref="M90:M91"/>
    <mergeCell ref="M92:M93"/>
    <mergeCell ref="L87:L88"/>
    <mergeCell ref="V92:V93"/>
    <mergeCell ref="AD90:AD91"/>
    <mergeCell ref="AD92:AD93"/>
    <mergeCell ref="AC90:AC91"/>
    <mergeCell ref="AC92:AC93"/>
    <mergeCell ref="Y90:Y91"/>
    <mergeCell ref="Y92:Y93"/>
    <mergeCell ref="S92:S93"/>
  </mergeCells>
  <phoneticPr fontId="37" type="noConversion"/>
  <conditionalFormatting sqref="T5:T93">
    <cfRule type="cellIs" dxfId="34" priority="1" operator="lessThan">
      <formula>1</formula>
    </cfRule>
  </conditionalFormatting>
  <conditionalFormatting sqref="V5:V23 V26:V93">
    <cfRule type="cellIs" dxfId="33" priority="2" operator="greaterThan">
      <formula>0</formula>
    </cfRule>
  </conditionalFormatting>
  <printOptions horizontalCentered="1"/>
  <pageMargins left="0.39370078740157499" right="0.39370078740157499" top="0.39370078740157499" bottom="0.39370078740157499" header="0.196850393700787" footer="0.196850393700787"/>
  <pageSetup paperSize="8" scale="75" fitToWidth="0" fitToHeight="0" orientation="landscape" r:id="rId1"/>
  <headerFooter alignWithMargins="0"/>
  <ignoredErrors>
    <ignoredError sqref="AB6 V11:W11 V8:W8 W26 AB54:AB55 AB80 M5:N5 O5:P5 X5:Y5 V5:W5 Q11 O11 O8 AH20" unlockedFormula="1"/>
    <ignoredError sqref="G5:G19 G23:G30 G20:G22" numberStoredAsText="1"/>
    <ignoredError sqref="V2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58"/>
  <sheetViews>
    <sheetView zoomScaleNormal="100" workbookViewId="0">
      <pane xSplit="4" ySplit="4" topLeftCell="P5" activePane="bottomRight" state="frozen"/>
      <selection pane="topRight" activeCell="E1" sqref="E1"/>
      <selection pane="bottomLeft" activeCell="A5" sqref="A5"/>
      <selection pane="bottomRight" activeCell="Q7" sqref="Q7:Q9"/>
    </sheetView>
  </sheetViews>
  <sheetFormatPr defaultColWidth="9.140625" defaultRowHeight="24.95" customHeight="1" x14ac:dyDescent="0.2"/>
  <cols>
    <col min="1" max="1" width="3.7109375" style="216" customWidth="1"/>
    <col min="2" max="2" width="50.7109375" style="298" customWidth="1"/>
    <col min="3" max="3" width="7.42578125" style="298" hidden="1" customWidth="1"/>
    <col min="4" max="4" width="25.7109375" style="298" customWidth="1"/>
    <col min="5" max="5" width="15.7109375" style="3" customWidth="1"/>
    <col min="6" max="6" width="12.5703125" style="1" customWidth="1"/>
    <col min="7" max="7" width="8.7109375" style="1" customWidth="1"/>
    <col min="8" max="8" width="10.7109375" style="213" customWidth="1"/>
    <col min="9" max="10" width="8.7109375" style="213" customWidth="1"/>
    <col min="11" max="20" width="15.7109375" style="209" customWidth="1"/>
    <col min="21" max="21" width="15.7109375" style="153" customWidth="1"/>
    <col min="22" max="23" width="15.7109375" style="209" customWidth="1"/>
    <col min="24" max="24" width="15.7109375" style="237" customWidth="1"/>
    <col min="25" max="25" width="15.7109375" style="215" customWidth="1"/>
    <col min="26" max="26" width="15.7109375" style="209" customWidth="1"/>
    <col min="27" max="28" width="10.7109375" style="213" customWidth="1"/>
    <col min="29" max="29" width="15.7109375" style="214" customWidth="1"/>
    <col min="30" max="31" width="15.7109375" style="215" customWidth="1"/>
    <col min="32" max="32" width="15.7109375" style="157" customWidth="1"/>
    <col min="33" max="33" width="20.7109375" style="1" customWidth="1"/>
    <col min="34" max="35" width="10.7109375" style="252" customWidth="1"/>
    <col min="36" max="36" width="12.85546875" style="1" customWidth="1"/>
    <col min="37" max="16384" width="9.140625" style="1"/>
  </cols>
  <sheetData>
    <row r="1" spans="1:35" ht="24.95" customHeight="1" thickBot="1" x14ac:dyDescent="0.25">
      <c r="A1" s="527" t="s">
        <v>274</v>
      </c>
      <c r="B1" s="528"/>
      <c r="C1" s="528"/>
      <c r="D1" s="528"/>
      <c r="E1" s="528"/>
      <c r="F1" s="528"/>
      <c r="G1" s="528"/>
      <c r="H1" s="528"/>
      <c r="I1" s="528"/>
      <c r="J1" s="528"/>
      <c r="K1" s="528"/>
      <c r="L1" s="528"/>
      <c r="M1" s="528"/>
      <c r="N1" s="528"/>
      <c r="O1" s="528"/>
      <c r="P1" s="528"/>
      <c r="Q1" s="528"/>
      <c r="R1" s="528"/>
      <c r="S1" s="528"/>
      <c r="T1" s="528"/>
      <c r="U1" s="528"/>
      <c r="V1" s="528"/>
      <c r="W1" s="528"/>
      <c r="X1" s="528"/>
      <c r="Y1" s="528"/>
      <c r="Z1" s="528"/>
      <c r="AA1" s="528"/>
      <c r="AB1" s="528"/>
      <c r="AC1" s="528"/>
      <c r="AD1" s="528"/>
      <c r="AE1" s="528"/>
      <c r="AF1" s="528"/>
      <c r="AG1" s="528"/>
    </row>
    <row r="2" spans="1:35" ht="24.95" customHeight="1" x14ac:dyDescent="0.2">
      <c r="A2" s="530" t="s">
        <v>1</v>
      </c>
      <c r="B2" s="421" t="s">
        <v>2</v>
      </c>
      <c r="C2" s="421"/>
      <c r="D2" s="421"/>
      <c r="E2" s="421"/>
      <c r="F2" s="446" t="s">
        <v>650</v>
      </c>
      <c r="G2" s="446"/>
      <c r="H2" s="446"/>
      <c r="I2" s="446"/>
      <c r="J2" s="447"/>
      <c r="K2" s="409" t="s">
        <v>211</v>
      </c>
      <c r="L2" s="405"/>
      <c r="M2" s="405"/>
      <c r="N2" s="405" t="s">
        <v>649</v>
      </c>
      <c r="O2" s="405"/>
      <c r="P2" s="406"/>
      <c r="Q2" s="398" t="s">
        <v>665</v>
      </c>
      <c r="R2" s="399"/>
      <c r="S2" s="399"/>
      <c r="T2" s="399"/>
      <c r="U2" s="399"/>
      <c r="V2" s="399"/>
      <c r="W2" s="400"/>
      <c r="X2" s="547" t="s">
        <v>667</v>
      </c>
      <c r="Y2" s="548"/>
      <c r="Z2" s="548"/>
      <c r="AA2" s="548"/>
      <c r="AB2" s="548"/>
      <c r="AC2" s="548"/>
      <c r="AD2" s="548"/>
      <c r="AE2" s="548"/>
      <c r="AF2" s="549"/>
      <c r="AG2" s="422" t="s">
        <v>8</v>
      </c>
      <c r="AH2" s="545"/>
    </row>
    <row r="3" spans="1:35" ht="24.95" customHeight="1" x14ac:dyDescent="0.2">
      <c r="A3" s="456"/>
      <c r="B3" s="532" t="s">
        <v>9</v>
      </c>
      <c r="C3" s="532" t="s">
        <v>275</v>
      </c>
      <c r="D3" s="532" t="s">
        <v>10</v>
      </c>
      <c r="E3" s="427" t="s">
        <v>11</v>
      </c>
      <c r="F3" s="427" t="s">
        <v>12</v>
      </c>
      <c r="G3" s="427" t="s">
        <v>13</v>
      </c>
      <c r="H3" s="429" t="s">
        <v>14</v>
      </c>
      <c r="I3" s="466" t="s">
        <v>15</v>
      </c>
      <c r="J3" s="431" t="s">
        <v>16</v>
      </c>
      <c r="K3" s="473" t="s">
        <v>17</v>
      </c>
      <c r="L3" s="407" t="s">
        <v>18</v>
      </c>
      <c r="M3" s="407" t="s">
        <v>276</v>
      </c>
      <c r="N3" s="407" t="s">
        <v>17</v>
      </c>
      <c r="O3" s="407" t="s">
        <v>18</v>
      </c>
      <c r="P3" s="444" t="s">
        <v>276</v>
      </c>
      <c r="Q3" s="403" t="s">
        <v>655</v>
      </c>
      <c r="R3" s="404"/>
      <c r="S3" s="404"/>
      <c r="T3" s="404"/>
      <c r="U3" s="552" t="s">
        <v>656</v>
      </c>
      <c r="V3" s="404"/>
      <c r="W3" s="553"/>
      <c r="X3" s="546" t="s">
        <v>660</v>
      </c>
      <c r="Y3" s="551" t="s">
        <v>668</v>
      </c>
      <c r="Z3" s="551"/>
      <c r="AA3" s="436" t="s">
        <v>658</v>
      </c>
      <c r="AB3" s="436"/>
      <c r="AC3" s="436"/>
      <c r="AD3" s="436"/>
      <c r="AE3" s="436"/>
      <c r="AF3" s="550" t="s">
        <v>661</v>
      </c>
      <c r="AG3" s="423"/>
      <c r="AH3" s="545"/>
    </row>
    <row r="4" spans="1:35" ht="24.95" customHeight="1" x14ac:dyDescent="0.2">
      <c r="A4" s="456"/>
      <c r="B4" s="532"/>
      <c r="C4" s="532"/>
      <c r="D4" s="532"/>
      <c r="E4" s="427"/>
      <c r="F4" s="427"/>
      <c r="G4" s="427"/>
      <c r="H4" s="429"/>
      <c r="I4" s="466"/>
      <c r="J4" s="431"/>
      <c r="K4" s="473"/>
      <c r="L4" s="407"/>
      <c r="M4" s="407"/>
      <c r="N4" s="407"/>
      <c r="O4" s="407"/>
      <c r="P4" s="444"/>
      <c r="Q4" s="206" t="s">
        <v>17</v>
      </c>
      <c r="R4" s="207" t="s">
        <v>18</v>
      </c>
      <c r="S4" s="207" t="s">
        <v>648</v>
      </c>
      <c r="T4" s="207" t="s">
        <v>657</v>
      </c>
      <c r="U4" s="552"/>
      <c r="V4" s="207" t="s">
        <v>19</v>
      </c>
      <c r="W4" s="224" t="s">
        <v>659</v>
      </c>
      <c r="X4" s="546"/>
      <c r="Y4" s="218" t="s">
        <v>666</v>
      </c>
      <c r="Z4" s="218" t="s">
        <v>20</v>
      </c>
      <c r="AA4" s="219" t="s">
        <v>21</v>
      </c>
      <c r="AB4" s="219" t="s">
        <v>22</v>
      </c>
      <c r="AC4" s="218" t="s">
        <v>23</v>
      </c>
      <c r="AD4" s="218" t="s">
        <v>24</v>
      </c>
      <c r="AE4" s="218" t="s">
        <v>25</v>
      </c>
      <c r="AF4" s="550"/>
      <c r="AG4" s="423"/>
      <c r="AH4" s="545"/>
    </row>
    <row r="5" spans="1:35" ht="30" customHeight="1" x14ac:dyDescent="0.2">
      <c r="A5" s="531">
        <v>1</v>
      </c>
      <c r="B5" s="495" t="s">
        <v>277</v>
      </c>
      <c r="C5" s="294"/>
      <c r="D5" s="495" t="s">
        <v>856</v>
      </c>
      <c r="E5" s="500" t="s">
        <v>278</v>
      </c>
      <c r="F5" s="461" t="s">
        <v>205</v>
      </c>
      <c r="G5" s="464" t="s">
        <v>68</v>
      </c>
      <c r="H5" s="464">
        <v>13681368593</v>
      </c>
      <c r="I5" s="412" t="s">
        <v>32</v>
      </c>
      <c r="J5" s="470" t="s">
        <v>32</v>
      </c>
      <c r="K5" s="475">
        <v>1169900</v>
      </c>
      <c r="L5" s="507">
        <v>0</v>
      </c>
      <c r="M5" s="507">
        <v>0</v>
      </c>
      <c r="N5" s="381">
        <v>884899.04</v>
      </c>
      <c r="O5" s="507">
        <v>0</v>
      </c>
      <c r="P5" s="510">
        <v>0</v>
      </c>
      <c r="Q5" s="475">
        <f>N5</f>
        <v>884899.04</v>
      </c>
      <c r="R5" s="507">
        <f>O5</f>
        <v>0</v>
      </c>
      <c r="S5" s="507">
        <f>P5</f>
        <v>0</v>
      </c>
      <c r="T5" s="507">
        <f>Q5+R5+S5</f>
        <v>884899.04</v>
      </c>
      <c r="U5" s="512">
        <f>T5</f>
        <v>884899.04</v>
      </c>
      <c r="V5" s="89">
        <v>442400</v>
      </c>
      <c r="W5" s="514">
        <f>U5-V5-V6</f>
        <v>0</v>
      </c>
      <c r="X5" s="360">
        <f>U5*0.77</f>
        <v>681372.26080000005</v>
      </c>
      <c r="Y5" s="84">
        <f>V5*0.77</f>
        <v>340648</v>
      </c>
      <c r="Z5" s="518">
        <f>X5-Y5-Y6</f>
        <v>0</v>
      </c>
      <c r="AA5" s="80" t="s">
        <v>34</v>
      </c>
      <c r="AB5" s="19" t="s">
        <v>43</v>
      </c>
      <c r="AC5" s="101">
        <f>1.05*2500</f>
        <v>2625</v>
      </c>
      <c r="AD5" s="353">
        <f>132720+124647.62</f>
        <v>257367.62</v>
      </c>
      <c r="AE5" s="353">
        <f>31158.32+74942.56+70384.35</f>
        <v>176485.23</v>
      </c>
      <c r="AF5" s="481">
        <f>X5-AC5-AC6-AD5-AE5</f>
        <v>244894.41080000004</v>
      </c>
      <c r="AG5" s="491"/>
      <c r="AH5" s="252">
        <f>AD5/U5</f>
        <v>0.29084404928272944</v>
      </c>
      <c r="AI5" s="252">
        <f>AE5/(Q5*0.77)</f>
        <v>0.25901440395120939</v>
      </c>
    </row>
    <row r="6" spans="1:35" ht="30" customHeight="1" x14ac:dyDescent="0.2">
      <c r="A6" s="531"/>
      <c r="B6" s="495"/>
      <c r="C6" s="294"/>
      <c r="D6" s="495"/>
      <c r="E6" s="500"/>
      <c r="F6" s="461"/>
      <c r="G6" s="464"/>
      <c r="H6" s="464"/>
      <c r="I6" s="412"/>
      <c r="J6" s="470"/>
      <c r="K6" s="475"/>
      <c r="L6" s="507"/>
      <c r="M6" s="507"/>
      <c r="N6" s="381"/>
      <c r="O6" s="507"/>
      <c r="P6" s="510"/>
      <c r="Q6" s="475"/>
      <c r="R6" s="507"/>
      <c r="S6" s="507"/>
      <c r="T6" s="507"/>
      <c r="U6" s="512"/>
      <c r="V6" s="89">
        <v>442499.04</v>
      </c>
      <c r="W6" s="514"/>
      <c r="X6" s="360"/>
      <c r="Y6" s="84">
        <f>V6*0.77</f>
        <v>340724.26079999999</v>
      </c>
      <c r="Z6" s="518"/>
      <c r="AA6" s="221"/>
      <c r="AB6" s="96"/>
      <c r="AC6" s="102"/>
      <c r="AD6" s="353"/>
      <c r="AE6" s="353"/>
      <c r="AF6" s="481"/>
      <c r="AG6" s="491"/>
    </row>
    <row r="7" spans="1:35" ht="30" customHeight="1" x14ac:dyDescent="0.2">
      <c r="A7" s="533">
        <v>2</v>
      </c>
      <c r="B7" s="520" t="s">
        <v>629</v>
      </c>
      <c r="C7" s="294"/>
      <c r="D7" s="495" t="s">
        <v>630</v>
      </c>
      <c r="E7" s="411" t="s">
        <v>669</v>
      </c>
      <c r="F7" s="461" t="s">
        <v>671</v>
      </c>
      <c r="G7" s="464" t="s">
        <v>672</v>
      </c>
      <c r="H7" s="464">
        <v>13439987630</v>
      </c>
      <c r="I7" s="412" t="s">
        <v>585</v>
      </c>
      <c r="J7" s="470" t="s">
        <v>585</v>
      </c>
      <c r="K7" s="475">
        <v>202382</v>
      </c>
      <c r="L7" s="507">
        <v>45135</v>
      </c>
      <c r="M7" s="507">
        <v>0</v>
      </c>
      <c r="N7" s="381">
        <v>202382</v>
      </c>
      <c r="O7" s="507">
        <v>45135</v>
      </c>
      <c r="P7" s="510">
        <v>0</v>
      </c>
      <c r="Q7" s="475">
        <f>N7</f>
        <v>202382</v>
      </c>
      <c r="R7" s="507">
        <f>O7</f>
        <v>45135</v>
      </c>
      <c r="S7" s="507">
        <f>P7</f>
        <v>0</v>
      </c>
      <c r="T7" s="507">
        <f>Q7+R7+S7</f>
        <v>247517</v>
      </c>
      <c r="U7" s="512">
        <f>T7</f>
        <v>247517</v>
      </c>
      <c r="V7" s="89">
        <v>222765.3</v>
      </c>
      <c r="W7" s="514">
        <f>U7-V7-V8-V9</f>
        <v>1.0913936421275139E-11</v>
      </c>
      <c r="X7" s="360">
        <f>U7*0.8</f>
        <v>198013.6</v>
      </c>
      <c r="Y7" s="84">
        <f>V7*0.8</f>
        <v>178212.24</v>
      </c>
      <c r="Z7" s="518">
        <f>X7-Y7-Y8-Y9</f>
        <v>1.4551915228366852E-11</v>
      </c>
      <c r="AA7" s="80" t="s">
        <v>279</v>
      </c>
      <c r="AB7" s="19" t="s">
        <v>43</v>
      </c>
      <c r="AC7" s="101">
        <f>4.4*2500</f>
        <v>11000</v>
      </c>
      <c r="AD7" s="353"/>
      <c r="AE7" s="353">
        <f>20942</f>
        <v>20942</v>
      </c>
      <c r="AF7" s="481">
        <f>X7-AC7-AC8-AC9-AD7-AE7</f>
        <v>146837.6</v>
      </c>
      <c r="AG7" s="491"/>
      <c r="AH7" s="252">
        <f>AD7/U7</f>
        <v>0</v>
      </c>
      <c r="AI7" s="252">
        <f>AE7/(Q7*0.8)</f>
        <v>0.12934697749799884</v>
      </c>
    </row>
    <row r="8" spans="1:35" ht="30" customHeight="1" x14ac:dyDescent="0.2">
      <c r="A8" s="534"/>
      <c r="B8" s="521"/>
      <c r="C8" s="294"/>
      <c r="D8" s="495"/>
      <c r="E8" s="411"/>
      <c r="F8" s="461"/>
      <c r="G8" s="464"/>
      <c r="H8" s="464"/>
      <c r="I8" s="412"/>
      <c r="J8" s="470"/>
      <c r="K8" s="475"/>
      <c r="L8" s="507"/>
      <c r="M8" s="507"/>
      <c r="N8" s="381"/>
      <c r="O8" s="507"/>
      <c r="P8" s="510"/>
      <c r="Q8" s="475"/>
      <c r="R8" s="507"/>
      <c r="S8" s="507"/>
      <c r="T8" s="507"/>
      <c r="U8" s="512"/>
      <c r="V8" s="89">
        <v>24751.7</v>
      </c>
      <c r="W8" s="514"/>
      <c r="X8" s="360"/>
      <c r="Y8" s="84">
        <f t="shared" ref="Y8:Y19" si="0">V8*0.8</f>
        <v>19801.36</v>
      </c>
      <c r="Z8" s="518"/>
      <c r="AA8" s="80" t="s">
        <v>34</v>
      </c>
      <c r="AB8" s="19" t="s">
        <v>36</v>
      </c>
      <c r="AC8" s="101">
        <f>6*150</f>
        <v>900</v>
      </c>
      <c r="AD8" s="353"/>
      <c r="AE8" s="353"/>
      <c r="AF8" s="481"/>
      <c r="AG8" s="491"/>
    </row>
    <row r="9" spans="1:35" ht="30" customHeight="1" x14ac:dyDescent="0.2">
      <c r="A9" s="534"/>
      <c r="B9" s="521"/>
      <c r="C9" s="294"/>
      <c r="D9" s="495"/>
      <c r="E9" s="411"/>
      <c r="F9" s="461"/>
      <c r="G9" s="464"/>
      <c r="H9" s="464"/>
      <c r="I9" s="412"/>
      <c r="J9" s="470"/>
      <c r="K9" s="475"/>
      <c r="L9" s="507"/>
      <c r="M9" s="507"/>
      <c r="N9" s="381"/>
      <c r="O9" s="507"/>
      <c r="P9" s="510"/>
      <c r="Q9" s="475"/>
      <c r="R9" s="507"/>
      <c r="S9" s="507"/>
      <c r="T9" s="507"/>
      <c r="U9" s="512"/>
      <c r="V9" s="89"/>
      <c r="W9" s="514"/>
      <c r="X9" s="360"/>
      <c r="Y9" s="84">
        <f t="shared" si="0"/>
        <v>0</v>
      </c>
      <c r="Z9" s="518"/>
      <c r="AA9" s="80" t="s">
        <v>37</v>
      </c>
      <c r="AB9" s="19" t="s">
        <v>664</v>
      </c>
      <c r="AC9" s="101">
        <f>17.48*800+87*50</f>
        <v>18334</v>
      </c>
      <c r="AD9" s="353"/>
      <c r="AE9" s="353"/>
      <c r="AF9" s="481"/>
      <c r="AG9" s="491"/>
    </row>
    <row r="10" spans="1:35" ht="30" customHeight="1" x14ac:dyDescent="0.2">
      <c r="A10" s="534"/>
      <c r="B10" s="521"/>
      <c r="C10" s="294"/>
      <c r="D10" s="495" t="s">
        <v>717</v>
      </c>
      <c r="E10" s="411" t="s">
        <v>669</v>
      </c>
      <c r="F10" s="461" t="s">
        <v>671</v>
      </c>
      <c r="G10" s="464" t="s">
        <v>672</v>
      </c>
      <c r="H10" s="464">
        <v>13439987630</v>
      </c>
      <c r="I10" s="412" t="s">
        <v>585</v>
      </c>
      <c r="J10" s="470" t="s">
        <v>585</v>
      </c>
      <c r="K10" s="475">
        <v>301366.44</v>
      </c>
      <c r="L10" s="507">
        <v>53182.31</v>
      </c>
      <c r="M10" s="507">
        <v>0</v>
      </c>
      <c r="N10" s="381">
        <f>K10*0.99</f>
        <v>298352.77559999999</v>
      </c>
      <c r="O10" s="507">
        <f>L10*0.99</f>
        <v>52650.486899999996</v>
      </c>
      <c r="P10" s="510">
        <v>0</v>
      </c>
      <c r="Q10" s="475">
        <v>294960.52</v>
      </c>
      <c r="R10" s="507">
        <v>52051.85</v>
      </c>
      <c r="S10" s="507">
        <f>P10</f>
        <v>0</v>
      </c>
      <c r="T10" s="507">
        <f>Q10+R10+S10</f>
        <v>347012.37</v>
      </c>
      <c r="U10" s="512">
        <f>T10</f>
        <v>347012.37</v>
      </c>
      <c r="V10" s="89">
        <v>312311.14</v>
      </c>
      <c r="W10" s="514">
        <f>U10-V10-V11-V12</f>
        <v>-1.0000000016589183E-2</v>
      </c>
      <c r="X10" s="360">
        <f>U10*0.8</f>
        <v>277609.89600000001</v>
      </c>
      <c r="Y10" s="84">
        <f t="shared" si="0"/>
        <v>249848.91200000001</v>
      </c>
      <c r="Z10" s="518">
        <f>X10-Y10-Y11-Y12</f>
        <v>-8.0000000016298145E-3</v>
      </c>
      <c r="AA10" s="80"/>
      <c r="AB10" s="19"/>
      <c r="AC10" s="101"/>
      <c r="AD10" s="353"/>
      <c r="AE10" s="353"/>
      <c r="AF10" s="481">
        <f>X10-AC10-AC11-AC12-AD10-AE10</f>
        <v>277609.89600000001</v>
      </c>
      <c r="AG10" s="491"/>
      <c r="AH10" s="252">
        <f>AD10/U10</f>
        <v>0</v>
      </c>
      <c r="AI10" s="252">
        <f>AE10/(Q10*0.8)</f>
        <v>0</v>
      </c>
    </row>
    <row r="11" spans="1:35" ht="30" customHeight="1" x14ac:dyDescent="0.2">
      <c r="A11" s="534"/>
      <c r="B11" s="521"/>
      <c r="C11" s="294"/>
      <c r="D11" s="495"/>
      <c r="E11" s="411"/>
      <c r="F11" s="461"/>
      <c r="G11" s="464"/>
      <c r="H11" s="464"/>
      <c r="I11" s="412"/>
      <c r="J11" s="470"/>
      <c r="K11" s="475"/>
      <c r="L11" s="507"/>
      <c r="M11" s="507"/>
      <c r="N11" s="381"/>
      <c r="O11" s="507"/>
      <c r="P11" s="510"/>
      <c r="Q11" s="475"/>
      <c r="R11" s="507"/>
      <c r="S11" s="507"/>
      <c r="T11" s="507"/>
      <c r="U11" s="512"/>
      <c r="V11" s="89">
        <v>34701.24</v>
      </c>
      <c r="W11" s="514"/>
      <c r="X11" s="360"/>
      <c r="Y11" s="84">
        <f t="shared" si="0"/>
        <v>27760.991999999998</v>
      </c>
      <c r="Z11" s="518"/>
      <c r="AA11" s="80"/>
      <c r="AB11" s="19"/>
      <c r="AC11" s="101"/>
      <c r="AD11" s="353"/>
      <c r="AE11" s="353"/>
      <c r="AF11" s="481"/>
      <c r="AG11" s="491"/>
    </row>
    <row r="12" spans="1:35" ht="30" customHeight="1" x14ac:dyDescent="0.2">
      <c r="A12" s="535"/>
      <c r="B12" s="522"/>
      <c r="C12" s="294"/>
      <c r="D12" s="495"/>
      <c r="E12" s="411"/>
      <c r="F12" s="461"/>
      <c r="G12" s="464"/>
      <c r="H12" s="464"/>
      <c r="I12" s="412"/>
      <c r="J12" s="470"/>
      <c r="K12" s="475"/>
      <c r="L12" s="507"/>
      <c r="M12" s="507"/>
      <c r="N12" s="381"/>
      <c r="O12" s="507"/>
      <c r="P12" s="510"/>
      <c r="Q12" s="475"/>
      <c r="R12" s="507"/>
      <c r="S12" s="507"/>
      <c r="T12" s="507"/>
      <c r="U12" s="512"/>
      <c r="V12" s="89"/>
      <c r="W12" s="514"/>
      <c r="X12" s="360"/>
      <c r="Y12" s="84">
        <f t="shared" si="0"/>
        <v>0</v>
      </c>
      <c r="Z12" s="518"/>
      <c r="AA12" s="80"/>
      <c r="AB12" s="19"/>
      <c r="AC12" s="101"/>
      <c r="AD12" s="353"/>
      <c r="AE12" s="353"/>
      <c r="AF12" s="481"/>
      <c r="AG12" s="491"/>
    </row>
    <row r="13" spans="1:35" ht="30" customHeight="1" x14ac:dyDescent="0.2">
      <c r="A13" s="493">
        <v>7</v>
      </c>
      <c r="B13" s="495" t="s">
        <v>740</v>
      </c>
      <c r="C13" s="294"/>
      <c r="D13" s="495" t="s">
        <v>281</v>
      </c>
      <c r="E13" s="524" t="s">
        <v>647</v>
      </c>
      <c r="F13" s="411" t="s">
        <v>47</v>
      </c>
      <c r="G13" s="411" t="s">
        <v>48</v>
      </c>
      <c r="H13" s="525" t="s">
        <v>49</v>
      </c>
      <c r="I13" s="525" t="s">
        <v>32</v>
      </c>
      <c r="J13" s="526" t="s">
        <v>33</v>
      </c>
      <c r="K13" s="475">
        <v>541919</v>
      </c>
      <c r="L13" s="507">
        <v>193330</v>
      </c>
      <c r="M13" s="507">
        <v>0</v>
      </c>
      <c r="N13" s="381">
        <f>INT(541919*0.99)+1</f>
        <v>536500</v>
      </c>
      <c r="O13" s="507">
        <f>INT(193330*0.99)</f>
        <v>191396</v>
      </c>
      <c r="P13" s="510">
        <v>0</v>
      </c>
      <c r="Q13" s="475">
        <f>N13</f>
        <v>536500</v>
      </c>
      <c r="R13" s="507">
        <f>O13</f>
        <v>191396</v>
      </c>
      <c r="S13" s="507">
        <f>P13</f>
        <v>0</v>
      </c>
      <c r="T13" s="507">
        <f>Q13+R13+S13</f>
        <v>727896</v>
      </c>
      <c r="U13" s="512">
        <f>T13</f>
        <v>727896</v>
      </c>
      <c r="V13" s="89"/>
      <c r="W13" s="514">
        <f>U13-V13-V14-V15</f>
        <v>727896</v>
      </c>
      <c r="X13" s="360">
        <f>U13*0.8</f>
        <v>582316.80000000005</v>
      </c>
      <c r="Y13" s="84">
        <f t="shared" si="0"/>
        <v>0</v>
      </c>
      <c r="Z13" s="518">
        <f>X13-Y13-Y14-Y15</f>
        <v>582316.80000000005</v>
      </c>
      <c r="AA13" s="80" t="s">
        <v>34</v>
      </c>
      <c r="AB13" s="11" t="s">
        <v>43</v>
      </c>
      <c r="AC13" s="101">
        <f>19.3*2500</f>
        <v>48250</v>
      </c>
      <c r="AD13" s="353"/>
      <c r="AE13" s="353"/>
      <c r="AF13" s="481">
        <f>X13-AC13-AC14-AC15-AD13-AE13</f>
        <v>499202.80000000005</v>
      </c>
      <c r="AG13" s="491"/>
      <c r="AH13" s="252">
        <f>AD13/U13</f>
        <v>0</v>
      </c>
      <c r="AI13" s="252">
        <f>AE13/(Q13*0.8)</f>
        <v>0</v>
      </c>
    </row>
    <row r="14" spans="1:35" ht="30" customHeight="1" x14ac:dyDescent="0.2">
      <c r="A14" s="493"/>
      <c r="B14" s="495"/>
      <c r="C14" s="294"/>
      <c r="D14" s="495"/>
      <c r="E14" s="524"/>
      <c r="F14" s="411"/>
      <c r="G14" s="411"/>
      <c r="H14" s="525"/>
      <c r="I14" s="525"/>
      <c r="J14" s="526"/>
      <c r="K14" s="475"/>
      <c r="L14" s="507"/>
      <c r="M14" s="507"/>
      <c r="N14" s="381"/>
      <c r="O14" s="507"/>
      <c r="P14" s="510"/>
      <c r="Q14" s="475"/>
      <c r="R14" s="507"/>
      <c r="S14" s="507"/>
      <c r="T14" s="507"/>
      <c r="U14" s="512"/>
      <c r="V14" s="89"/>
      <c r="W14" s="514"/>
      <c r="X14" s="360"/>
      <c r="Y14" s="84">
        <f t="shared" si="0"/>
        <v>0</v>
      </c>
      <c r="Z14" s="518"/>
      <c r="AA14" s="80" t="s">
        <v>34</v>
      </c>
      <c r="AB14" s="11" t="s">
        <v>36</v>
      </c>
      <c r="AC14" s="101">
        <f>16*150</f>
        <v>2400</v>
      </c>
      <c r="AD14" s="353"/>
      <c r="AE14" s="353"/>
      <c r="AF14" s="481"/>
      <c r="AG14" s="491"/>
    </row>
    <row r="15" spans="1:35" ht="30" customHeight="1" x14ac:dyDescent="0.2">
      <c r="A15" s="493"/>
      <c r="B15" s="495"/>
      <c r="C15" s="294"/>
      <c r="D15" s="495"/>
      <c r="E15" s="524"/>
      <c r="F15" s="411"/>
      <c r="G15" s="411"/>
      <c r="H15" s="525"/>
      <c r="I15" s="525"/>
      <c r="J15" s="526"/>
      <c r="K15" s="475"/>
      <c r="L15" s="507"/>
      <c r="M15" s="507"/>
      <c r="N15" s="381"/>
      <c r="O15" s="507"/>
      <c r="P15" s="510"/>
      <c r="Q15" s="475"/>
      <c r="R15" s="507"/>
      <c r="S15" s="507"/>
      <c r="T15" s="507"/>
      <c r="U15" s="512"/>
      <c r="V15" s="89"/>
      <c r="W15" s="514"/>
      <c r="X15" s="360"/>
      <c r="Y15" s="84">
        <f t="shared" si="0"/>
        <v>0</v>
      </c>
      <c r="Z15" s="518"/>
      <c r="AA15" s="80" t="s">
        <v>62</v>
      </c>
      <c r="AB15" s="11" t="s">
        <v>280</v>
      </c>
      <c r="AC15" s="101">
        <f>(38.6*800+194*50)*0.8</f>
        <v>32464</v>
      </c>
      <c r="AD15" s="353"/>
      <c r="AE15" s="353"/>
      <c r="AF15" s="481"/>
      <c r="AG15" s="491"/>
    </row>
    <row r="16" spans="1:35" ht="30" customHeight="1" x14ac:dyDescent="0.2">
      <c r="A16" s="493">
        <v>13</v>
      </c>
      <c r="B16" s="495" t="s">
        <v>674</v>
      </c>
      <c r="C16" s="294"/>
      <c r="D16" s="495" t="s">
        <v>675</v>
      </c>
      <c r="E16" s="411" t="s">
        <v>676</v>
      </c>
      <c r="F16" s="411" t="s">
        <v>677</v>
      </c>
      <c r="G16" s="411" t="s">
        <v>678</v>
      </c>
      <c r="H16" s="525" t="s">
        <v>679</v>
      </c>
      <c r="I16" s="541"/>
      <c r="J16" s="542"/>
      <c r="K16" s="475">
        <v>31359</v>
      </c>
      <c r="L16" s="507">
        <v>0</v>
      </c>
      <c r="M16" s="507">
        <v>0</v>
      </c>
      <c r="N16" s="381">
        <v>12887.7</v>
      </c>
      <c r="O16" s="507">
        <v>0</v>
      </c>
      <c r="P16" s="510">
        <v>0</v>
      </c>
      <c r="Q16" s="475">
        <f>N16</f>
        <v>12887.7</v>
      </c>
      <c r="R16" s="507">
        <f>O16</f>
        <v>0</v>
      </c>
      <c r="S16" s="507">
        <f>P16</f>
        <v>0</v>
      </c>
      <c r="T16" s="507">
        <f>Q16+R16+S16</f>
        <v>12887.7</v>
      </c>
      <c r="U16" s="512">
        <f>T16</f>
        <v>12887.7</v>
      </c>
      <c r="V16" s="89">
        <v>12887.7</v>
      </c>
      <c r="W16" s="514">
        <f>U16-V16-V17-V18</f>
        <v>0</v>
      </c>
      <c r="X16" s="360">
        <f>U16*0.8</f>
        <v>10310.160000000002</v>
      </c>
      <c r="Y16" s="84">
        <f t="shared" si="0"/>
        <v>10310.160000000002</v>
      </c>
      <c r="Z16" s="518">
        <f>X16-Y16-Y17-Y18</f>
        <v>0</v>
      </c>
      <c r="AA16" s="80" t="s">
        <v>680</v>
      </c>
      <c r="AB16" s="11" t="s">
        <v>681</v>
      </c>
      <c r="AC16" s="101">
        <v>10310.16</v>
      </c>
      <c r="AD16" s="353"/>
      <c r="AE16" s="353"/>
      <c r="AF16" s="481">
        <f>X16-AC16-AC17-AC18-AD16-AE16</f>
        <v>1.8189894035458565E-12</v>
      </c>
      <c r="AG16" s="491"/>
    </row>
    <row r="17" spans="1:35" ht="30" customHeight="1" x14ac:dyDescent="0.2">
      <c r="A17" s="493"/>
      <c r="B17" s="495"/>
      <c r="C17" s="294"/>
      <c r="D17" s="495"/>
      <c r="E17" s="411"/>
      <c r="F17" s="411"/>
      <c r="G17" s="411"/>
      <c r="H17" s="525"/>
      <c r="I17" s="541"/>
      <c r="J17" s="542"/>
      <c r="K17" s="475"/>
      <c r="L17" s="507"/>
      <c r="M17" s="507"/>
      <c r="N17" s="381"/>
      <c r="O17" s="507"/>
      <c r="P17" s="510"/>
      <c r="Q17" s="475"/>
      <c r="R17" s="507"/>
      <c r="S17" s="507"/>
      <c r="T17" s="507"/>
      <c r="U17" s="512"/>
      <c r="V17" s="220"/>
      <c r="W17" s="514"/>
      <c r="X17" s="360"/>
      <c r="Y17" s="84">
        <f t="shared" si="0"/>
        <v>0</v>
      </c>
      <c r="Z17" s="518"/>
      <c r="AA17" s="221"/>
      <c r="AB17" s="113"/>
      <c r="AC17" s="102"/>
      <c r="AD17" s="353"/>
      <c r="AE17" s="353"/>
      <c r="AF17" s="481"/>
      <c r="AG17" s="491"/>
    </row>
    <row r="18" spans="1:35" ht="30" customHeight="1" x14ac:dyDescent="0.2">
      <c r="A18" s="493"/>
      <c r="B18" s="495"/>
      <c r="C18" s="294"/>
      <c r="D18" s="495"/>
      <c r="E18" s="411"/>
      <c r="F18" s="411"/>
      <c r="G18" s="411"/>
      <c r="H18" s="525"/>
      <c r="I18" s="541"/>
      <c r="J18" s="542"/>
      <c r="K18" s="475"/>
      <c r="L18" s="507"/>
      <c r="M18" s="507"/>
      <c r="N18" s="381"/>
      <c r="O18" s="507"/>
      <c r="P18" s="510"/>
      <c r="Q18" s="475"/>
      <c r="R18" s="507"/>
      <c r="S18" s="507"/>
      <c r="T18" s="507"/>
      <c r="U18" s="512"/>
      <c r="V18" s="220"/>
      <c r="W18" s="514"/>
      <c r="X18" s="360"/>
      <c r="Y18" s="84">
        <f t="shared" si="0"/>
        <v>0</v>
      </c>
      <c r="Z18" s="518"/>
      <c r="AA18" s="221"/>
      <c r="AB18" s="113"/>
      <c r="AC18" s="102"/>
      <c r="AD18" s="353"/>
      <c r="AE18" s="353"/>
      <c r="AF18" s="481"/>
      <c r="AG18" s="491"/>
    </row>
    <row r="19" spans="1:35" ht="30" customHeight="1" x14ac:dyDescent="0.2">
      <c r="A19" s="493">
        <v>14</v>
      </c>
      <c r="B19" s="495" t="s">
        <v>682</v>
      </c>
      <c r="C19" s="294"/>
      <c r="D19" s="306" t="s">
        <v>857</v>
      </c>
      <c r="E19" s="12" t="s">
        <v>284</v>
      </c>
      <c r="F19" s="411" t="s">
        <v>132</v>
      </c>
      <c r="G19" s="410" t="s">
        <v>683</v>
      </c>
      <c r="H19" s="410">
        <v>15801247391</v>
      </c>
      <c r="I19" s="410" t="s">
        <v>33</v>
      </c>
      <c r="J19" s="523" t="s">
        <v>33</v>
      </c>
      <c r="K19" s="87">
        <v>145303</v>
      </c>
      <c r="L19" s="89">
        <v>6807</v>
      </c>
      <c r="M19" s="89">
        <v>0</v>
      </c>
      <c r="N19" s="89">
        <v>145303</v>
      </c>
      <c r="O19" s="89">
        <v>6807</v>
      </c>
      <c r="P19" s="127">
        <v>0</v>
      </c>
      <c r="Q19" s="87">
        <v>0</v>
      </c>
      <c r="R19" s="89">
        <v>0</v>
      </c>
      <c r="S19" s="89">
        <f>P19</f>
        <v>0</v>
      </c>
      <c r="T19" s="507">
        <f>Q20</f>
        <v>139675.75</v>
      </c>
      <c r="U19" s="512">
        <f>T19</f>
        <v>139675.75</v>
      </c>
      <c r="V19" s="89">
        <v>0</v>
      </c>
      <c r="W19" s="514">
        <f>U19-V19-V24-V25</f>
        <v>139675.75</v>
      </c>
      <c r="X19" s="360">
        <f>U19*0.8</f>
        <v>111740.6</v>
      </c>
      <c r="Y19" s="84">
        <f t="shared" si="0"/>
        <v>0</v>
      </c>
      <c r="Z19" s="518">
        <f>X19-Y19-Y24-Y25</f>
        <v>111740.6</v>
      </c>
      <c r="AA19" s="210" t="s">
        <v>34</v>
      </c>
      <c r="AB19" s="211" t="s">
        <v>286</v>
      </c>
      <c r="AC19" s="212">
        <f>0.854*2000+2*150</f>
        <v>2008</v>
      </c>
      <c r="AD19" s="353"/>
      <c r="AE19" s="353"/>
      <c r="AF19" s="481">
        <f>X19-AC19-AC20-AC21-AC22-AC23-AC24-AC25-AD19-AE19</f>
        <v>92176.6</v>
      </c>
      <c r="AG19" s="231" t="s">
        <v>287</v>
      </c>
    </row>
    <row r="20" spans="1:35" ht="30" customHeight="1" x14ac:dyDescent="0.2">
      <c r="A20" s="493"/>
      <c r="B20" s="495"/>
      <c r="C20" s="294"/>
      <c r="D20" s="306" t="s">
        <v>288</v>
      </c>
      <c r="E20" s="12" t="s">
        <v>289</v>
      </c>
      <c r="F20" s="411"/>
      <c r="G20" s="410"/>
      <c r="H20" s="410"/>
      <c r="I20" s="410"/>
      <c r="J20" s="523"/>
      <c r="K20" s="87">
        <v>327015</v>
      </c>
      <c r="L20" s="89">
        <v>27961</v>
      </c>
      <c r="M20" s="89">
        <v>0</v>
      </c>
      <c r="N20" s="89">
        <v>327015</v>
      </c>
      <c r="O20" s="89">
        <v>27961</v>
      </c>
      <c r="P20" s="127">
        <v>0</v>
      </c>
      <c r="Q20" s="87">
        <v>139675.75</v>
      </c>
      <c r="R20" s="89">
        <v>0</v>
      </c>
      <c r="S20" s="89">
        <v>0</v>
      </c>
      <c r="T20" s="507"/>
      <c r="U20" s="512"/>
      <c r="V20" s="89"/>
      <c r="W20" s="514"/>
      <c r="X20" s="360"/>
      <c r="Y20" s="84"/>
      <c r="Z20" s="518"/>
      <c r="AA20" s="80" t="s">
        <v>34</v>
      </c>
      <c r="AB20" s="12" t="s">
        <v>43</v>
      </c>
      <c r="AC20" s="101">
        <f>0.92*2000</f>
        <v>1840</v>
      </c>
      <c r="AD20" s="353"/>
      <c r="AE20" s="353"/>
      <c r="AF20" s="481"/>
      <c r="AG20" s="231"/>
    </row>
    <row r="21" spans="1:35" ht="30" customHeight="1" x14ac:dyDescent="0.2">
      <c r="A21" s="493"/>
      <c r="B21" s="495"/>
      <c r="C21" s="294"/>
      <c r="D21" s="306" t="s">
        <v>290</v>
      </c>
      <c r="E21" s="12" t="s">
        <v>291</v>
      </c>
      <c r="F21" s="411"/>
      <c r="G21" s="410"/>
      <c r="H21" s="410"/>
      <c r="I21" s="410"/>
      <c r="J21" s="523"/>
      <c r="K21" s="87">
        <v>314738</v>
      </c>
      <c r="L21" s="89">
        <v>9439</v>
      </c>
      <c r="M21" s="89">
        <v>0</v>
      </c>
      <c r="N21" s="89">
        <v>314738</v>
      </c>
      <c r="O21" s="89">
        <v>9439</v>
      </c>
      <c r="P21" s="127">
        <v>0</v>
      </c>
      <c r="Q21" s="87">
        <v>0</v>
      </c>
      <c r="R21" s="89">
        <v>0</v>
      </c>
      <c r="S21" s="89">
        <v>0</v>
      </c>
      <c r="T21" s="507"/>
      <c r="U21" s="512"/>
      <c r="V21" s="89"/>
      <c r="W21" s="514"/>
      <c r="X21" s="360"/>
      <c r="Y21" s="84"/>
      <c r="Z21" s="518"/>
      <c r="AA21" s="210" t="s">
        <v>34</v>
      </c>
      <c r="AB21" s="211" t="s">
        <v>286</v>
      </c>
      <c r="AC21" s="212">
        <f>0.62*2000+5*150</f>
        <v>1990</v>
      </c>
      <c r="AD21" s="353"/>
      <c r="AE21" s="353"/>
      <c r="AF21" s="481"/>
      <c r="AG21" s="231" t="s">
        <v>287</v>
      </c>
    </row>
    <row r="22" spans="1:35" ht="30" customHeight="1" x14ac:dyDescent="0.2">
      <c r="A22" s="493"/>
      <c r="B22" s="495"/>
      <c r="C22" s="294"/>
      <c r="D22" s="307" t="s">
        <v>858</v>
      </c>
      <c r="E22" s="12" t="s">
        <v>292</v>
      </c>
      <c r="F22" s="411"/>
      <c r="G22" s="410"/>
      <c r="H22" s="410"/>
      <c r="I22" s="410"/>
      <c r="J22" s="523"/>
      <c r="K22" s="128"/>
      <c r="L22" s="220"/>
      <c r="M22" s="220"/>
      <c r="N22" s="118"/>
      <c r="O22" s="220"/>
      <c r="P22" s="223"/>
      <c r="Q22" s="128"/>
      <c r="R22" s="220"/>
      <c r="S22" s="220"/>
      <c r="T22" s="507"/>
      <c r="U22" s="512"/>
      <c r="V22" s="89"/>
      <c r="W22" s="514"/>
      <c r="X22" s="360"/>
      <c r="Y22" s="84"/>
      <c r="Z22" s="518"/>
      <c r="AA22" s="210" t="s">
        <v>34</v>
      </c>
      <c r="AB22" s="211" t="s">
        <v>286</v>
      </c>
      <c r="AC22" s="212">
        <f>2.24*2000+8*150</f>
        <v>5680</v>
      </c>
      <c r="AD22" s="353"/>
      <c r="AE22" s="353"/>
      <c r="AF22" s="481"/>
      <c r="AG22" s="231"/>
    </row>
    <row r="23" spans="1:35" ht="30" customHeight="1" x14ac:dyDescent="0.2">
      <c r="A23" s="493"/>
      <c r="B23" s="495"/>
      <c r="C23" s="294"/>
      <c r="D23" s="307" t="s">
        <v>859</v>
      </c>
      <c r="E23" s="12" t="s">
        <v>293</v>
      </c>
      <c r="F23" s="411"/>
      <c r="G23" s="410"/>
      <c r="H23" s="410"/>
      <c r="I23" s="410"/>
      <c r="J23" s="523"/>
      <c r="K23" s="128"/>
      <c r="L23" s="220"/>
      <c r="M23" s="220"/>
      <c r="N23" s="118"/>
      <c r="O23" s="220"/>
      <c r="P23" s="223"/>
      <c r="Q23" s="128"/>
      <c r="R23" s="220"/>
      <c r="S23" s="220"/>
      <c r="T23" s="507"/>
      <c r="U23" s="512"/>
      <c r="V23" s="89"/>
      <c r="W23" s="514"/>
      <c r="X23" s="360"/>
      <c r="Y23" s="84"/>
      <c r="Z23" s="518"/>
      <c r="AA23" s="210" t="s">
        <v>34</v>
      </c>
      <c r="AB23" s="211" t="s">
        <v>286</v>
      </c>
      <c r="AC23" s="212">
        <f>1.149*2000+6*150</f>
        <v>3198</v>
      </c>
      <c r="AD23" s="353"/>
      <c r="AE23" s="353"/>
      <c r="AF23" s="481"/>
      <c r="AG23" s="231"/>
    </row>
    <row r="24" spans="1:35" ht="30" customHeight="1" x14ac:dyDescent="0.2">
      <c r="A24" s="493"/>
      <c r="B24" s="495"/>
      <c r="C24" s="294"/>
      <c r="D24" s="307" t="s">
        <v>860</v>
      </c>
      <c r="E24" s="12" t="s">
        <v>294</v>
      </c>
      <c r="F24" s="411"/>
      <c r="G24" s="410"/>
      <c r="H24" s="410"/>
      <c r="I24" s="410"/>
      <c r="J24" s="523"/>
      <c r="K24" s="128"/>
      <c r="L24" s="220"/>
      <c r="M24" s="220"/>
      <c r="N24" s="118"/>
      <c r="O24" s="220"/>
      <c r="P24" s="223"/>
      <c r="Q24" s="128"/>
      <c r="R24" s="220"/>
      <c r="S24" s="220"/>
      <c r="T24" s="507"/>
      <c r="U24" s="512"/>
      <c r="V24" s="220"/>
      <c r="W24" s="514"/>
      <c r="X24" s="360"/>
      <c r="Y24" s="84"/>
      <c r="Z24" s="518"/>
      <c r="AA24" s="210" t="s">
        <v>34</v>
      </c>
      <c r="AB24" s="211" t="s">
        <v>286</v>
      </c>
      <c r="AC24" s="212">
        <f>0.48*2000+6*150</f>
        <v>1860</v>
      </c>
      <c r="AD24" s="353"/>
      <c r="AE24" s="353"/>
      <c r="AF24" s="481"/>
      <c r="AG24" s="231"/>
    </row>
    <row r="25" spans="1:35" ht="30" customHeight="1" x14ac:dyDescent="0.2">
      <c r="A25" s="493"/>
      <c r="B25" s="495"/>
      <c r="C25" s="294"/>
      <c r="D25" s="307" t="s">
        <v>861</v>
      </c>
      <c r="E25" s="12" t="s">
        <v>295</v>
      </c>
      <c r="F25" s="411"/>
      <c r="G25" s="410"/>
      <c r="H25" s="410"/>
      <c r="I25" s="410"/>
      <c r="J25" s="523"/>
      <c r="K25" s="128"/>
      <c r="L25" s="220"/>
      <c r="M25" s="220"/>
      <c r="N25" s="118"/>
      <c r="O25" s="220"/>
      <c r="P25" s="223"/>
      <c r="Q25" s="128"/>
      <c r="R25" s="220"/>
      <c r="S25" s="220"/>
      <c r="T25" s="507"/>
      <c r="U25" s="512"/>
      <c r="V25" s="220"/>
      <c r="W25" s="514"/>
      <c r="X25" s="360"/>
      <c r="Y25" s="84"/>
      <c r="Z25" s="518"/>
      <c r="AA25" s="210" t="s">
        <v>34</v>
      </c>
      <c r="AB25" s="211" t="s">
        <v>286</v>
      </c>
      <c r="AC25" s="212">
        <f>1.194*2000+4*150</f>
        <v>2988</v>
      </c>
      <c r="AD25" s="353"/>
      <c r="AE25" s="353"/>
      <c r="AF25" s="481"/>
      <c r="AG25" s="231"/>
    </row>
    <row r="26" spans="1:35" ht="30" customHeight="1" x14ac:dyDescent="0.2">
      <c r="A26" s="493">
        <v>15</v>
      </c>
      <c r="B26" s="495" t="s">
        <v>684</v>
      </c>
      <c r="C26" s="294"/>
      <c r="D26" s="306" t="s">
        <v>296</v>
      </c>
      <c r="E26" s="12" t="s">
        <v>297</v>
      </c>
      <c r="F26" s="411" t="s">
        <v>97</v>
      </c>
      <c r="G26" s="410" t="s">
        <v>98</v>
      </c>
      <c r="H26" s="410" t="s">
        <v>99</v>
      </c>
      <c r="I26" s="410" t="s">
        <v>33</v>
      </c>
      <c r="J26" s="523" t="s">
        <v>33</v>
      </c>
      <c r="K26" s="88">
        <v>240008.58</v>
      </c>
      <c r="L26" s="84">
        <v>27871.1</v>
      </c>
      <c r="M26" s="84">
        <v>0</v>
      </c>
      <c r="N26" s="222">
        <v>87614.720000000001</v>
      </c>
      <c r="O26" s="84">
        <v>0</v>
      </c>
      <c r="P26" s="103">
        <v>0</v>
      </c>
      <c r="Q26" s="225">
        <v>87614.720000000001</v>
      </c>
      <c r="R26" s="84">
        <v>0</v>
      </c>
      <c r="S26" s="217">
        <f>P26</f>
        <v>0</v>
      </c>
      <c r="T26" s="507">
        <f>Q26+Q27+Q28+Q29+Q30+Q31+R26+R27+R28+R29+R30+R31</f>
        <v>419201.59</v>
      </c>
      <c r="U26" s="512">
        <f>T26</f>
        <v>419201.59</v>
      </c>
      <c r="V26" s="89">
        <v>90420</v>
      </c>
      <c r="W26" s="514">
        <f>U26-V26-V27-V28-V29-V30-V31</f>
        <v>0</v>
      </c>
      <c r="X26" s="360">
        <f>U26*0.8</f>
        <v>335361.27200000006</v>
      </c>
      <c r="Y26" s="84">
        <f>V26*0.8</f>
        <v>72336</v>
      </c>
      <c r="Z26" s="518">
        <f>X26-Y26-Y27-Y28-Y29-Y30-Y31</f>
        <v>0</v>
      </c>
      <c r="AA26" s="80" t="s">
        <v>34</v>
      </c>
      <c r="AB26" s="11" t="s">
        <v>286</v>
      </c>
      <c r="AC26" s="101">
        <f>1.966*2000+6*150</f>
        <v>4832</v>
      </c>
      <c r="AD26" s="353">
        <f>18084+82195.4</f>
        <v>100279.4</v>
      </c>
      <c r="AE26" s="353">
        <f>13953.39+50742.27</f>
        <v>64695.659999999996</v>
      </c>
      <c r="AF26" s="481">
        <f>X26-AC26-AC30-AC31-AD26-AE26</f>
        <v>163210.21200000006</v>
      </c>
      <c r="AG26" s="491"/>
      <c r="AH26" s="252">
        <f>AD26/U26</f>
        <v>0.23921521862548276</v>
      </c>
      <c r="AI26" s="252">
        <f>AE26/X26</f>
        <v>0.19291333079151723</v>
      </c>
    </row>
    <row r="27" spans="1:35" ht="30" customHeight="1" x14ac:dyDescent="0.2">
      <c r="A27" s="493"/>
      <c r="B27" s="495"/>
      <c r="C27" s="294"/>
      <c r="D27" s="306" t="s">
        <v>298</v>
      </c>
      <c r="E27" s="12" t="s">
        <v>299</v>
      </c>
      <c r="F27" s="411"/>
      <c r="G27" s="410"/>
      <c r="H27" s="410"/>
      <c r="I27" s="410"/>
      <c r="J27" s="523"/>
      <c r="K27" s="88">
        <v>146488.985114279</v>
      </c>
      <c r="L27" s="84">
        <v>12196</v>
      </c>
      <c r="M27" s="84">
        <v>0</v>
      </c>
      <c r="N27" s="222">
        <v>51559.94</v>
      </c>
      <c r="O27" s="84">
        <v>0</v>
      </c>
      <c r="P27" s="103">
        <v>0</v>
      </c>
      <c r="Q27" s="225">
        <v>51559.94</v>
      </c>
      <c r="R27" s="84">
        <v>0</v>
      </c>
      <c r="S27" s="217">
        <f t="shared" ref="S27:S31" si="1">P27</f>
        <v>0</v>
      </c>
      <c r="T27" s="507"/>
      <c r="U27" s="512"/>
      <c r="V27" s="89">
        <v>328781.59000000003</v>
      </c>
      <c r="W27" s="514"/>
      <c r="X27" s="360"/>
      <c r="Y27" s="84">
        <f>V27*0.8</f>
        <v>263025.27200000006</v>
      </c>
      <c r="Z27" s="518"/>
      <c r="AA27" s="80" t="s">
        <v>34</v>
      </c>
      <c r="AB27" s="11" t="s">
        <v>286</v>
      </c>
      <c r="AC27" s="101">
        <f>0.798*2000+0*150</f>
        <v>1596</v>
      </c>
      <c r="AD27" s="353"/>
      <c r="AE27" s="353"/>
      <c r="AF27" s="481"/>
      <c r="AG27" s="491"/>
    </row>
    <row r="28" spans="1:35" ht="30" customHeight="1" x14ac:dyDescent="0.2">
      <c r="A28" s="493"/>
      <c r="B28" s="495"/>
      <c r="C28" s="294"/>
      <c r="D28" s="306" t="s">
        <v>300</v>
      </c>
      <c r="E28" s="12" t="s">
        <v>301</v>
      </c>
      <c r="F28" s="411"/>
      <c r="G28" s="410"/>
      <c r="H28" s="410"/>
      <c r="I28" s="410"/>
      <c r="J28" s="523"/>
      <c r="K28" s="88">
        <v>137583.316624297</v>
      </c>
      <c r="L28" s="84">
        <v>20311.7</v>
      </c>
      <c r="M28" s="84">
        <v>0</v>
      </c>
      <c r="N28" s="222">
        <v>45530.91</v>
      </c>
      <c r="O28" s="84">
        <v>0</v>
      </c>
      <c r="P28" s="103">
        <v>0</v>
      </c>
      <c r="Q28" s="225">
        <v>45530.91</v>
      </c>
      <c r="R28" s="84">
        <v>0</v>
      </c>
      <c r="S28" s="217">
        <f t="shared" si="1"/>
        <v>0</v>
      </c>
      <c r="T28" s="507"/>
      <c r="U28" s="512"/>
      <c r="V28" s="220"/>
      <c r="W28" s="514"/>
      <c r="X28" s="360"/>
      <c r="Y28" s="116"/>
      <c r="Z28" s="518"/>
      <c r="AA28" s="80" t="s">
        <v>34</v>
      </c>
      <c r="AB28" s="11" t="s">
        <v>286</v>
      </c>
      <c r="AC28" s="101">
        <f>1.368*2000+4*150</f>
        <v>3336</v>
      </c>
      <c r="AD28" s="353"/>
      <c r="AE28" s="353"/>
      <c r="AF28" s="481"/>
      <c r="AG28" s="491"/>
    </row>
    <row r="29" spans="1:35" ht="30" customHeight="1" x14ac:dyDescent="0.2">
      <c r="A29" s="493"/>
      <c r="B29" s="495"/>
      <c r="C29" s="294"/>
      <c r="D29" s="294" t="s">
        <v>302</v>
      </c>
      <c r="E29" s="12" t="s">
        <v>303</v>
      </c>
      <c r="F29" s="411"/>
      <c r="G29" s="410"/>
      <c r="H29" s="410"/>
      <c r="I29" s="410"/>
      <c r="J29" s="523"/>
      <c r="K29" s="88">
        <v>172942.09185706201</v>
      </c>
      <c r="L29" s="84">
        <v>14513.8</v>
      </c>
      <c r="M29" s="84">
        <v>0</v>
      </c>
      <c r="N29" s="222">
        <v>66834.33</v>
      </c>
      <c r="O29" s="84">
        <v>0</v>
      </c>
      <c r="P29" s="103">
        <v>0</v>
      </c>
      <c r="Q29" s="225">
        <v>66834.33</v>
      </c>
      <c r="R29" s="84">
        <v>0</v>
      </c>
      <c r="S29" s="217">
        <f t="shared" si="1"/>
        <v>0</v>
      </c>
      <c r="T29" s="507"/>
      <c r="U29" s="512"/>
      <c r="V29" s="220"/>
      <c r="W29" s="514"/>
      <c r="X29" s="360"/>
      <c r="Y29" s="116"/>
      <c r="Z29" s="518"/>
      <c r="AA29" s="80" t="s">
        <v>34</v>
      </c>
      <c r="AB29" s="11" t="s">
        <v>286</v>
      </c>
      <c r="AC29" s="101">
        <f>1.071*2000+4*150</f>
        <v>2742</v>
      </c>
      <c r="AD29" s="353"/>
      <c r="AE29" s="353"/>
      <c r="AF29" s="481"/>
      <c r="AG29" s="491"/>
    </row>
    <row r="30" spans="1:35" ht="30" customHeight="1" x14ac:dyDescent="0.2">
      <c r="A30" s="493"/>
      <c r="B30" s="495"/>
      <c r="C30" s="294"/>
      <c r="D30" s="294" t="s">
        <v>304</v>
      </c>
      <c r="E30" s="12" t="s">
        <v>305</v>
      </c>
      <c r="F30" s="411"/>
      <c r="G30" s="410"/>
      <c r="H30" s="410"/>
      <c r="I30" s="410"/>
      <c r="J30" s="523"/>
      <c r="K30" s="88">
        <v>194756.81047443199</v>
      </c>
      <c r="L30" s="84">
        <v>37680.5</v>
      </c>
      <c r="M30" s="84">
        <v>0</v>
      </c>
      <c r="N30" s="222">
        <v>85760.81</v>
      </c>
      <c r="O30" s="84">
        <v>0</v>
      </c>
      <c r="P30" s="103">
        <v>0</v>
      </c>
      <c r="Q30" s="225">
        <v>85760.81</v>
      </c>
      <c r="R30" s="84">
        <v>0</v>
      </c>
      <c r="S30" s="217">
        <f t="shared" si="1"/>
        <v>0</v>
      </c>
      <c r="T30" s="507"/>
      <c r="U30" s="512"/>
      <c r="V30" s="220"/>
      <c r="W30" s="514"/>
      <c r="X30" s="360"/>
      <c r="Y30" s="116"/>
      <c r="Z30" s="518"/>
      <c r="AA30" s="80" t="s">
        <v>34</v>
      </c>
      <c r="AB30" s="11" t="s">
        <v>286</v>
      </c>
      <c r="AC30" s="101">
        <f>0.824*2000+0*150</f>
        <v>1648</v>
      </c>
      <c r="AD30" s="353"/>
      <c r="AE30" s="353"/>
      <c r="AF30" s="481"/>
      <c r="AG30" s="491"/>
    </row>
    <row r="31" spans="1:35" ht="30" customHeight="1" x14ac:dyDescent="0.2">
      <c r="A31" s="493"/>
      <c r="B31" s="495"/>
      <c r="C31" s="294"/>
      <c r="D31" s="294" t="s">
        <v>306</v>
      </c>
      <c r="E31" s="12" t="s">
        <v>307</v>
      </c>
      <c r="F31" s="411"/>
      <c r="G31" s="410"/>
      <c r="H31" s="410"/>
      <c r="I31" s="410"/>
      <c r="J31" s="523"/>
      <c r="K31" s="88">
        <v>242302.45156587899</v>
      </c>
      <c r="L31" s="84">
        <v>13737.4</v>
      </c>
      <c r="M31" s="117">
        <v>0</v>
      </c>
      <c r="N31" s="222">
        <v>81900.88</v>
      </c>
      <c r="O31" s="84">
        <v>0</v>
      </c>
      <c r="P31" s="126">
        <v>0</v>
      </c>
      <c r="Q31" s="225">
        <v>81900.88</v>
      </c>
      <c r="R31" s="84">
        <v>0</v>
      </c>
      <c r="S31" s="217">
        <f t="shared" si="1"/>
        <v>0</v>
      </c>
      <c r="T31" s="507"/>
      <c r="U31" s="512"/>
      <c r="V31" s="220"/>
      <c r="W31" s="514"/>
      <c r="X31" s="360"/>
      <c r="Y31" s="116"/>
      <c r="Z31" s="518"/>
      <c r="AA31" s="80" t="s">
        <v>34</v>
      </c>
      <c r="AB31" s="11" t="s">
        <v>286</v>
      </c>
      <c r="AC31" s="101">
        <f>0.198*2000+2*150</f>
        <v>696</v>
      </c>
      <c r="AD31" s="353"/>
      <c r="AE31" s="353"/>
      <c r="AF31" s="481"/>
      <c r="AG31" s="491"/>
    </row>
    <row r="32" spans="1:35" ht="30" customHeight="1" x14ac:dyDescent="0.2">
      <c r="A32" s="493">
        <v>16</v>
      </c>
      <c r="B32" s="519" t="s">
        <v>685</v>
      </c>
      <c r="C32" s="294"/>
      <c r="D32" s="306" t="s">
        <v>308</v>
      </c>
      <c r="E32" s="411" t="s">
        <v>688</v>
      </c>
      <c r="F32" s="411" t="s">
        <v>309</v>
      </c>
      <c r="G32" s="410" t="s">
        <v>310</v>
      </c>
      <c r="H32" s="412" t="s">
        <v>311</v>
      </c>
      <c r="I32" s="412" t="s">
        <v>32</v>
      </c>
      <c r="J32" s="470" t="s">
        <v>312</v>
      </c>
      <c r="K32" s="475">
        <f>3022700+831700</f>
        <v>3854400</v>
      </c>
      <c r="L32" s="507">
        <v>0</v>
      </c>
      <c r="M32" s="507">
        <v>0</v>
      </c>
      <c r="N32" s="381">
        <v>3861000</v>
      </c>
      <c r="O32" s="507">
        <v>0</v>
      </c>
      <c r="P32" s="510">
        <v>0</v>
      </c>
      <c r="Q32" s="475">
        <v>3861000</v>
      </c>
      <c r="R32" s="507">
        <f>O32</f>
        <v>0</v>
      </c>
      <c r="S32" s="507">
        <f>P32</f>
        <v>0</v>
      </c>
      <c r="T32" s="507">
        <f>Q32+R32+S32</f>
        <v>3861000</v>
      </c>
      <c r="U32" s="512">
        <f>T32</f>
        <v>3861000</v>
      </c>
      <c r="V32" s="89">
        <v>1875450</v>
      </c>
      <c r="W32" s="514">
        <f>U32-V32-V33-V34</f>
        <v>1985550</v>
      </c>
      <c r="X32" s="360">
        <f>U32*0.82</f>
        <v>3166020</v>
      </c>
      <c r="Y32" s="84">
        <f>V32*0.82</f>
        <v>1537869</v>
      </c>
      <c r="Z32" s="518">
        <f>X32-Y32-Y33-Y34</f>
        <v>1628151</v>
      </c>
      <c r="AA32" s="221"/>
      <c r="AB32" s="113"/>
      <c r="AC32" s="102"/>
      <c r="AD32" s="353"/>
      <c r="AE32" s="353"/>
      <c r="AF32" s="481">
        <f>X32-AC32-AC33-AC34-AD32-AE32</f>
        <v>3166020</v>
      </c>
      <c r="AG32" s="491"/>
    </row>
    <row r="33" spans="1:35" ht="30" customHeight="1" x14ac:dyDescent="0.2">
      <c r="A33" s="493"/>
      <c r="B33" s="519"/>
      <c r="C33" s="294"/>
      <c r="D33" s="306" t="s">
        <v>313</v>
      </c>
      <c r="E33" s="411"/>
      <c r="F33" s="411"/>
      <c r="G33" s="410"/>
      <c r="H33" s="412"/>
      <c r="I33" s="412"/>
      <c r="J33" s="470"/>
      <c r="K33" s="475"/>
      <c r="L33" s="507"/>
      <c r="M33" s="507"/>
      <c r="N33" s="381"/>
      <c r="O33" s="507"/>
      <c r="P33" s="510"/>
      <c r="Q33" s="475"/>
      <c r="R33" s="507"/>
      <c r="S33" s="507"/>
      <c r="T33" s="507"/>
      <c r="U33" s="512"/>
      <c r="V33" s="220"/>
      <c r="W33" s="514"/>
      <c r="X33" s="360"/>
      <c r="Y33" s="84">
        <f>V33*0.8</f>
        <v>0</v>
      </c>
      <c r="Z33" s="518"/>
      <c r="AA33" s="221"/>
      <c r="AB33" s="113"/>
      <c r="AC33" s="102"/>
      <c r="AD33" s="353"/>
      <c r="AE33" s="353"/>
      <c r="AF33" s="481"/>
      <c r="AG33" s="491"/>
    </row>
    <row r="34" spans="1:35" ht="30" customHeight="1" x14ac:dyDescent="0.2">
      <c r="A34" s="493"/>
      <c r="B34" s="519"/>
      <c r="C34" s="294"/>
      <c r="D34" s="306" t="s">
        <v>314</v>
      </c>
      <c r="E34" s="411"/>
      <c r="F34" s="411"/>
      <c r="G34" s="410"/>
      <c r="H34" s="412"/>
      <c r="I34" s="412"/>
      <c r="J34" s="470"/>
      <c r="K34" s="475"/>
      <c r="L34" s="507"/>
      <c r="M34" s="507"/>
      <c r="N34" s="381"/>
      <c r="O34" s="507"/>
      <c r="P34" s="510"/>
      <c r="Q34" s="475"/>
      <c r="R34" s="507"/>
      <c r="S34" s="507"/>
      <c r="T34" s="507"/>
      <c r="U34" s="512"/>
      <c r="V34" s="220"/>
      <c r="W34" s="514"/>
      <c r="X34" s="360"/>
      <c r="Y34" s="84">
        <f>V34*0.8</f>
        <v>0</v>
      </c>
      <c r="Z34" s="518"/>
      <c r="AA34" s="221"/>
      <c r="AB34" s="113"/>
      <c r="AC34" s="102"/>
      <c r="AD34" s="353"/>
      <c r="AE34" s="353"/>
      <c r="AF34" s="481"/>
      <c r="AG34" s="491"/>
    </row>
    <row r="35" spans="1:35" ht="30" customHeight="1" x14ac:dyDescent="0.2">
      <c r="A35" s="493">
        <v>17</v>
      </c>
      <c r="B35" s="495" t="s">
        <v>686</v>
      </c>
      <c r="C35" s="294"/>
      <c r="D35" s="497" t="s">
        <v>570</v>
      </c>
      <c r="E35" s="411" t="s">
        <v>687</v>
      </c>
      <c r="F35" s="411" t="s">
        <v>670</v>
      </c>
      <c r="G35" s="410" t="s">
        <v>689</v>
      </c>
      <c r="H35" s="412" t="s">
        <v>673</v>
      </c>
      <c r="I35" s="412" t="s">
        <v>585</v>
      </c>
      <c r="J35" s="470" t="s">
        <v>585</v>
      </c>
      <c r="K35" s="475">
        <v>121316.91</v>
      </c>
      <c r="L35" s="507">
        <v>0</v>
      </c>
      <c r="M35" s="507">
        <v>0</v>
      </c>
      <c r="N35" s="381">
        <v>59288</v>
      </c>
      <c r="O35" s="507">
        <v>0</v>
      </c>
      <c r="P35" s="510">
        <v>0</v>
      </c>
      <c r="Q35" s="475">
        <f>N35</f>
        <v>59288</v>
      </c>
      <c r="R35" s="507">
        <f>O35</f>
        <v>0</v>
      </c>
      <c r="S35" s="507">
        <f>P35</f>
        <v>0</v>
      </c>
      <c r="T35" s="507">
        <f>Q35+R35+S35</f>
        <v>59288</v>
      </c>
      <c r="U35" s="512">
        <f>T35</f>
        <v>59288</v>
      </c>
      <c r="V35" s="89">
        <v>0</v>
      </c>
      <c r="W35" s="514">
        <f>U35-V35-V36-V37</f>
        <v>59288</v>
      </c>
      <c r="X35" s="360">
        <f>U35*0.8</f>
        <v>47430.400000000001</v>
      </c>
      <c r="Y35" s="84">
        <f>V35*0.8</f>
        <v>0</v>
      </c>
      <c r="Z35" s="518">
        <f>X35-Y35-Y36-Y37</f>
        <v>47430.400000000001</v>
      </c>
      <c r="AA35" s="221"/>
      <c r="AB35" s="113"/>
      <c r="AC35" s="102"/>
      <c r="AD35" s="353"/>
      <c r="AE35" s="353"/>
      <c r="AF35" s="481">
        <f>X35-AC35-AC36-AC37-AD35-AE35</f>
        <v>47430.400000000001</v>
      </c>
      <c r="AG35" s="491"/>
      <c r="AH35" s="252">
        <f>AD35/U35</f>
        <v>0</v>
      </c>
      <c r="AI35" s="252">
        <f>AE35/(Q35*0.8)</f>
        <v>0</v>
      </c>
    </row>
    <row r="36" spans="1:35" ht="30" customHeight="1" x14ac:dyDescent="0.2">
      <c r="A36" s="493"/>
      <c r="B36" s="495"/>
      <c r="C36" s="294"/>
      <c r="D36" s="498"/>
      <c r="E36" s="411"/>
      <c r="F36" s="411"/>
      <c r="G36" s="410"/>
      <c r="H36" s="412"/>
      <c r="I36" s="412"/>
      <c r="J36" s="470"/>
      <c r="K36" s="475"/>
      <c r="L36" s="507"/>
      <c r="M36" s="507"/>
      <c r="N36" s="381"/>
      <c r="O36" s="507"/>
      <c r="P36" s="510"/>
      <c r="Q36" s="475"/>
      <c r="R36" s="507"/>
      <c r="S36" s="507"/>
      <c r="T36" s="507"/>
      <c r="U36" s="512"/>
      <c r="V36" s="220"/>
      <c r="W36" s="514"/>
      <c r="X36" s="360"/>
      <c r="Y36" s="84">
        <f>V36*0.8</f>
        <v>0</v>
      </c>
      <c r="Z36" s="518"/>
      <c r="AA36" s="221"/>
      <c r="AB36" s="113"/>
      <c r="AC36" s="102"/>
      <c r="AD36" s="353"/>
      <c r="AE36" s="353"/>
      <c r="AF36" s="481"/>
      <c r="AG36" s="491"/>
    </row>
    <row r="37" spans="1:35" ht="30" customHeight="1" x14ac:dyDescent="0.2">
      <c r="A37" s="493"/>
      <c r="B37" s="495"/>
      <c r="C37" s="294"/>
      <c r="D37" s="517"/>
      <c r="E37" s="411"/>
      <c r="F37" s="411"/>
      <c r="G37" s="410"/>
      <c r="H37" s="412"/>
      <c r="I37" s="412"/>
      <c r="J37" s="470"/>
      <c r="K37" s="475"/>
      <c r="L37" s="507"/>
      <c r="M37" s="507"/>
      <c r="N37" s="381"/>
      <c r="O37" s="507"/>
      <c r="P37" s="510"/>
      <c r="Q37" s="475"/>
      <c r="R37" s="507"/>
      <c r="S37" s="507"/>
      <c r="T37" s="507"/>
      <c r="U37" s="512"/>
      <c r="V37" s="220"/>
      <c r="W37" s="514"/>
      <c r="X37" s="360"/>
      <c r="Y37" s="84">
        <f>V37*0.8</f>
        <v>0</v>
      </c>
      <c r="Z37" s="518"/>
      <c r="AA37" s="221"/>
      <c r="AB37" s="113"/>
      <c r="AC37" s="102"/>
      <c r="AD37" s="353"/>
      <c r="AE37" s="353"/>
      <c r="AF37" s="481"/>
      <c r="AG37" s="491"/>
    </row>
    <row r="38" spans="1:35" ht="30" customHeight="1" x14ac:dyDescent="0.2">
      <c r="A38" s="493">
        <v>18</v>
      </c>
      <c r="B38" s="495" t="s">
        <v>690</v>
      </c>
      <c r="C38" s="294"/>
      <c r="D38" s="497" t="s">
        <v>691</v>
      </c>
      <c r="E38" s="500" t="s">
        <v>692</v>
      </c>
      <c r="F38" s="411" t="s">
        <v>693</v>
      </c>
      <c r="G38" s="410" t="s">
        <v>694</v>
      </c>
      <c r="H38" s="412" t="s">
        <v>695</v>
      </c>
      <c r="I38" s="412" t="s">
        <v>585</v>
      </c>
      <c r="J38" s="470" t="s">
        <v>585</v>
      </c>
      <c r="K38" s="475">
        <v>3526664</v>
      </c>
      <c r="L38" s="507">
        <v>0</v>
      </c>
      <c r="M38" s="507">
        <v>0</v>
      </c>
      <c r="N38" s="381">
        <v>2804700</v>
      </c>
      <c r="O38" s="507">
        <v>0</v>
      </c>
      <c r="P38" s="510">
        <v>0</v>
      </c>
      <c r="Q38" s="475">
        <f>N38</f>
        <v>2804700</v>
      </c>
      <c r="R38" s="507">
        <f>O38</f>
        <v>0</v>
      </c>
      <c r="S38" s="507">
        <f>P38</f>
        <v>0</v>
      </c>
      <c r="T38" s="507">
        <f>Q38+R38+S38</f>
        <v>2804700</v>
      </c>
      <c r="U38" s="512">
        <f>T38</f>
        <v>2804700</v>
      </c>
      <c r="V38" s="89">
        <v>560940</v>
      </c>
      <c r="W38" s="514">
        <f>U38-V38-V39-V40</f>
        <v>841410</v>
      </c>
      <c r="X38" s="360">
        <f>U38*0.7</f>
        <v>1963289.9999999998</v>
      </c>
      <c r="Y38" s="84">
        <f>V38*0.7</f>
        <v>392658</v>
      </c>
      <c r="Z38" s="518">
        <f>X38-Y38-Y39-Y40</f>
        <v>588986.99999999988</v>
      </c>
      <c r="AA38" s="221"/>
      <c r="AB38" s="113"/>
      <c r="AC38" s="102"/>
      <c r="AD38" s="353">
        <f>158011.27</f>
        <v>158011.26999999999</v>
      </c>
      <c r="AE38" s="353">
        <v>55303.94</v>
      </c>
      <c r="AF38" s="481">
        <f>X38-AC38-AC39-AC40-AD38-AE38</f>
        <v>1749974.7899999998</v>
      </c>
      <c r="AG38" s="491"/>
      <c r="AH38" s="252">
        <f>AD38/U38</f>
        <v>5.6338029022711872E-2</v>
      </c>
      <c r="AI38" s="252">
        <f>AE38/X38</f>
        <v>2.8169012219284979E-2</v>
      </c>
    </row>
    <row r="39" spans="1:35" ht="30" customHeight="1" x14ac:dyDescent="0.2">
      <c r="A39" s="493"/>
      <c r="B39" s="495"/>
      <c r="C39" s="294"/>
      <c r="D39" s="498"/>
      <c r="E39" s="500"/>
      <c r="F39" s="411"/>
      <c r="G39" s="410"/>
      <c r="H39" s="412"/>
      <c r="I39" s="412"/>
      <c r="J39" s="470"/>
      <c r="K39" s="475"/>
      <c r="L39" s="507"/>
      <c r="M39" s="507"/>
      <c r="N39" s="381"/>
      <c r="O39" s="507"/>
      <c r="P39" s="510"/>
      <c r="Q39" s="475"/>
      <c r="R39" s="507"/>
      <c r="S39" s="507"/>
      <c r="T39" s="507"/>
      <c r="U39" s="512"/>
      <c r="V39" s="89">
        <v>1402350</v>
      </c>
      <c r="W39" s="514"/>
      <c r="X39" s="360"/>
      <c r="Y39" s="84">
        <f>V39*0.7</f>
        <v>981644.99999999988</v>
      </c>
      <c r="Z39" s="518"/>
      <c r="AA39" s="221"/>
      <c r="AB39" s="113"/>
      <c r="AC39" s="102"/>
      <c r="AD39" s="353"/>
      <c r="AE39" s="353"/>
      <c r="AF39" s="481"/>
      <c r="AG39" s="491"/>
    </row>
    <row r="40" spans="1:35" ht="30" customHeight="1" x14ac:dyDescent="0.2">
      <c r="A40" s="493"/>
      <c r="B40" s="495"/>
      <c r="C40" s="294"/>
      <c r="D40" s="517"/>
      <c r="E40" s="500"/>
      <c r="F40" s="411"/>
      <c r="G40" s="410"/>
      <c r="H40" s="412"/>
      <c r="I40" s="412"/>
      <c r="J40" s="470"/>
      <c r="K40" s="475"/>
      <c r="L40" s="507"/>
      <c r="M40" s="507"/>
      <c r="N40" s="381"/>
      <c r="O40" s="507"/>
      <c r="P40" s="510"/>
      <c r="Q40" s="475"/>
      <c r="R40" s="507"/>
      <c r="S40" s="507"/>
      <c r="T40" s="507"/>
      <c r="U40" s="512"/>
      <c r="V40" s="89"/>
      <c r="W40" s="514"/>
      <c r="X40" s="360"/>
      <c r="Y40" s="84">
        <f>V40*0.8</f>
        <v>0</v>
      </c>
      <c r="Z40" s="518"/>
      <c r="AA40" s="221"/>
      <c r="AB40" s="113"/>
      <c r="AC40" s="102"/>
      <c r="AD40" s="353"/>
      <c r="AE40" s="353"/>
      <c r="AF40" s="481"/>
      <c r="AG40" s="491"/>
    </row>
    <row r="41" spans="1:35" ht="30" customHeight="1" x14ac:dyDescent="0.2">
      <c r="A41" s="493">
        <v>19</v>
      </c>
      <c r="B41" s="495" t="s">
        <v>696</v>
      </c>
      <c r="C41" s="294"/>
      <c r="D41" s="497" t="s">
        <v>697</v>
      </c>
      <c r="E41" s="500" t="s">
        <v>698</v>
      </c>
      <c r="F41" s="411" t="s">
        <v>699</v>
      </c>
      <c r="G41" s="410" t="s">
        <v>700</v>
      </c>
      <c r="H41" s="412" t="s">
        <v>701</v>
      </c>
      <c r="I41" s="412" t="s">
        <v>585</v>
      </c>
      <c r="J41" s="470" t="s">
        <v>585</v>
      </c>
      <c r="K41" s="475">
        <v>40000</v>
      </c>
      <c r="L41" s="507">
        <v>20000</v>
      </c>
      <c r="M41" s="507">
        <v>0</v>
      </c>
      <c r="N41" s="381">
        <v>40000</v>
      </c>
      <c r="O41" s="507">
        <v>20000</v>
      </c>
      <c r="P41" s="510">
        <v>0</v>
      </c>
      <c r="Q41" s="475">
        <f>N41</f>
        <v>40000</v>
      </c>
      <c r="R41" s="507">
        <f>O41</f>
        <v>20000</v>
      </c>
      <c r="S41" s="507">
        <f>P41</f>
        <v>0</v>
      </c>
      <c r="T41" s="507">
        <f>Q41+R41+S41</f>
        <v>60000</v>
      </c>
      <c r="U41" s="512">
        <f>T41</f>
        <v>60000</v>
      </c>
      <c r="V41" s="89">
        <v>60000</v>
      </c>
      <c r="W41" s="514">
        <f>U41-V41-V42-V43</f>
        <v>0</v>
      </c>
      <c r="X41" s="360">
        <f>U41*0.8</f>
        <v>48000</v>
      </c>
      <c r="Y41" s="84">
        <v>27000</v>
      </c>
      <c r="Z41" s="518">
        <f>X41-Y41-Y42-Y43</f>
        <v>21000</v>
      </c>
      <c r="AA41" s="19" t="s">
        <v>34</v>
      </c>
      <c r="AB41" s="19" t="s">
        <v>43</v>
      </c>
      <c r="AC41" s="101">
        <v>20000</v>
      </c>
      <c r="AD41" s="353">
        <f>6750</f>
        <v>6750</v>
      </c>
      <c r="AE41" s="353">
        <f>3600</f>
        <v>3600</v>
      </c>
      <c r="AF41" s="481">
        <f>X41-AC41-AC42-AC43-AD41-AE41</f>
        <v>17650</v>
      </c>
      <c r="AG41" s="491"/>
      <c r="AH41" s="252">
        <f>AD41/U41</f>
        <v>0.1125</v>
      </c>
      <c r="AI41" s="252">
        <f>AE41/(Q41*0.8)</f>
        <v>0.1125</v>
      </c>
    </row>
    <row r="42" spans="1:35" ht="30" customHeight="1" x14ac:dyDescent="0.2">
      <c r="A42" s="493"/>
      <c r="B42" s="495"/>
      <c r="C42" s="294"/>
      <c r="D42" s="498"/>
      <c r="E42" s="500"/>
      <c r="F42" s="411"/>
      <c r="G42" s="410"/>
      <c r="H42" s="412"/>
      <c r="I42" s="412"/>
      <c r="J42" s="470"/>
      <c r="K42" s="475"/>
      <c r="L42" s="507"/>
      <c r="M42" s="507"/>
      <c r="N42" s="381"/>
      <c r="O42" s="507"/>
      <c r="P42" s="510"/>
      <c r="Q42" s="475"/>
      <c r="R42" s="507"/>
      <c r="S42" s="507"/>
      <c r="T42" s="507"/>
      <c r="U42" s="512"/>
      <c r="V42" s="220"/>
      <c r="W42" s="514"/>
      <c r="X42" s="360"/>
      <c r="Y42" s="84">
        <f>V42*0.8</f>
        <v>0</v>
      </c>
      <c r="Z42" s="518"/>
      <c r="AA42" s="221"/>
      <c r="AB42" s="113"/>
      <c r="AC42" s="102"/>
      <c r="AD42" s="353"/>
      <c r="AE42" s="353"/>
      <c r="AF42" s="481"/>
      <c r="AG42" s="491"/>
    </row>
    <row r="43" spans="1:35" ht="30" customHeight="1" x14ac:dyDescent="0.2">
      <c r="A43" s="493"/>
      <c r="B43" s="495"/>
      <c r="C43" s="294"/>
      <c r="D43" s="517"/>
      <c r="E43" s="500"/>
      <c r="F43" s="411"/>
      <c r="G43" s="410"/>
      <c r="H43" s="412"/>
      <c r="I43" s="412"/>
      <c r="J43" s="470"/>
      <c r="K43" s="475"/>
      <c r="L43" s="507"/>
      <c r="M43" s="507"/>
      <c r="N43" s="381"/>
      <c r="O43" s="507"/>
      <c r="P43" s="510"/>
      <c r="Q43" s="475"/>
      <c r="R43" s="507"/>
      <c r="S43" s="507"/>
      <c r="T43" s="507"/>
      <c r="U43" s="512"/>
      <c r="V43" s="220"/>
      <c r="W43" s="514"/>
      <c r="X43" s="360"/>
      <c r="Y43" s="84"/>
      <c r="Z43" s="518"/>
      <c r="AA43" s="221"/>
      <c r="AB43" s="113"/>
      <c r="AC43" s="102"/>
      <c r="AD43" s="353"/>
      <c r="AE43" s="353"/>
      <c r="AF43" s="481"/>
      <c r="AG43" s="491"/>
    </row>
    <row r="44" spans="1:35" ht="30" customHeight="1" x14ac:dyDescent="0.2">
      <c r="A44" s="493">
        <v>20</v>
      </c>
      <c r="B44" s="495" t="s">
        <v>702</v>
      </c>
      <c r="C44" s="294"/>
      <c r="D44" s="497" t="s">
        <v>703</v>
      </c>
      <c r="E44" s="500" t="s">
        <v>704</v>
      </c>
      <c r="F44" s="411" t="s">
        <v>705</v>
      </c>
      <c r="G44" s="410" t="s">
        <v>706</v>
      </c>
      <c r="H44" s="412" t="s">
        <v>707</v>
      </c>
      <c r="I44" s="412" t="s">
        <v>585</v>
      </c>
      <c r="J44" s="470" t="s">
        <v>585</v>
      </c>
      <c r="K44" s="475">
        <v>70700</v>
      </c>
      <c r="L44" s="507">
        <v>0</v>
      </c>
      <c r="M44" s="507">
        <v>48000</v>
      </c>
      <c r="N44" s="381">
        <v>37565.78</v>
      </c>
      <c r="O44" s="507">
        <v>0</v>
      </c>
      <c r="P44" s="510">
        <v>48000</v>
      </c>
      <c r="Q44" s="475">
        <f>N44</f>
        <v>37565.78</v>
      </c>
      <c r="R44" s="507">
        <f>O44</f>
        <v>0</v>
      </c>
      <c r="S44" s="507">
        <f>P44</f>
        <v>48000</v>
      </c>
      <c r="T44" s="507">
        <f>Q44+R44+S44</f>
        <v>85565.78</v>
      </c>
      <c r="U44" s="512">
        <f>T44</f>
        <v>85565.78</v>
      </c>
      <c r="V44" s="89">
        <v>85565.78</v>
      </c>
      <c r="W44" s="514">
        <f>U44-V44-V45-V46</f>
        <v>0</v>
      </c>
      <c r="X44" s="360">
        <f>U44*0.8</f>
        <v>68452.623999999996</v>
      </c>
      <c r="Y44" s="84">
        <v>30052.62</v>
      </c>
      <c r="Z44" s="536">
        <f>X44-Y44-Y45</f>
        <v>4.0000000008149073E-3</v>
      </c>
      <c r="AA44" s="221"/>
      <c r="AB44" s="113"/>
      <c r="AC44" s="102"/>
      <c r="AD44" s="353">
        <f>12000+9391.45</f>
        <v>21391.45</v>
      </c>
      <c r="AE44" s="353">
        <f>4608+3125.4+2709.04+2884.51</f>
        <v>13326.949999999999</v>
      </c>
      <c r="AF44" s="481">
        <f>X44-AC44-AC45-AC46-AD44-AE44</f>
        <v>33734.224000000002</v>
      </c>
      <c r="AG44" s="491"/>
      <c r="AH44" s="252">
        <f>AD44/U44</f>
        <v>0.25000005843457512</v>
      </c>
      <c r="AI44" s="252">
        <f>AE44/X44</f>
        <v>0.19468866525847131</v>
      </c>
    </row>
    <row r="45" spans="1:35" ht="30" customHeight="1" x14ac:dyDescent="0.2">
      <c r="A45" s="493"/>
      <c r="B45" s="495"/>
      <c r="C45" s="294"/>
      <c r="D45" s="498"/>
      <c r="E45" s="500"/>
      <c r="F45" s="411"/>
      <c r="G45" s="410"/>
      <c r="H45" s="412"/>
      <c r="I45" s="412"/>
      <c r="J45" s="470"/>
      <c r="K45" s="475"/>
      <c r="L45" s="507"/>
      <c r="M45" s="507"/>
      <c r="N45" s="381"/>
      <c r="O45" s="507"/>
      <c r="P45" s="510"/>
      <c r="Q45" s="475"/>
      <c r="R45" s="507"/>
      <c r="S45" s="507"/>
      <c r="T45" s="507"/>
      <c r="U45" s="512"/>
      <c r="V45" s="220"/>
      <c r="W45" s="514"/>
      <c r="X45" s="360"/>
      <c r="Y45" s="84">
        <v>38400</v>
      </c>
      <c r="Z45" s="537"/>
      <c r="AA45" s="221"/>
      <c r="AB45" s="113"/>
      <c r="AC45" s="102"/>
      <c r="AD45" s="353"/>
      <c r="AE45" s="353"/>
      <c r="AF45" s="481"/>
      <c r="AG45" s="491"/>
    </row>
    <row r="46" spans="1:35" ht="30" customHeight="1" x14ac:dyDescent="0.2">
      <c r="A46" s="493"/>
      <c r="B46" s="495"/>
      <c r="C46" s="294"/>
      <c r="D46" s="517"/>
      <c r="E46" s="500"/>
      <c r="F46" s="411"/>
      <c r="G46" s="410"/>
      <c r="H46" s="412"/>
      <c r="I46" s="412"/>
      <c r="J46" s="470"/>
      <c r="K46" s="475"/>
      <c r="L46" s="507"/>
      <c r="M46" s="507"/>
      <c r="N46" s="381"/>
      <c r="O46" s="507"/>
      <c r="P46" s="510"/>
      <c r="Q46" s="475"/>
      <c r="R46" s="507"/>
      <c r="S46" s="507"/>
      <c r="T46" s="507"/>
      <c r="U46" s="512"/>
      <c r="V46" s="220"/>
      <c r="W46" s="514"/>
      <c r="X46" s="360"/>
      <c r="Y46" s="116"/>
      <c r="Z46" s="538"/>
      <c r="AA46" s="221"/>
      <c r="AB46" s="113"/>
      <c r="AC46" s="102"/>
      <c r="AD46" s="353"/>
      <c r="AE46" s="353"/>
      <c r="AF46" s="481"/>
      <c r="AG46" s="491"/>
    </row>
    <row r="47" spans="1:35" ht="30" customHeight="1" x14ac:dyDescent="0.2">
      <c r="A47" s="493">
        <v>21</v>
      </c>
      <c r="B47" s="495" t="s">
        <v>708</v>
      </c>
      <c r="C47" s="294"/>
      <c r="D47" s="497" t="s">
        <v>710</v>
      </c>
      <c r="E47" s="500" t="s">
        <v>712</v>
      </c>
      <c r="F47" s="411" t="s">
        <v>714</v>
      </c>
      <c r="G47" s="410" t="s">
        <v>715</v>
      </c>
      <c r="H47" s="412" t="s">
        <v>716</v>
      </c>
      <c r="I47" s="412" t="s">
        <v>639</v>
      </c>
      <c r="J47" s="470" t="s">
        <v>639</v>
      </c>
      <c r="K47" s="475">
        <v>82900</v>
      </c>
      <c r="L47" s="507">
        <v>0</v>
      </c>
      <c r="M47" s="507">
        <v>0</v>
      </c>
      <c r="N47" s="381">
        <v>70090</v>
      </c>
      <c r="O47" s="507">
        <v>0</v>
      </c>
      <c r="P47" s="510">
        <v>0</v>
      </c>
      <c r="Q47" s="475">
        <f>N47</f>
        <v>70090</v>
      </c>
      <c r="R47" s="507">
        <f>O47</f>
        <v>0</v>
      </c>
      <c r="S47" s="507">
        <f>P47</f>
        <v>0</v>
      </c>
      <c r="T47" s="507">
        <f>Q47+R47+S47</f>
        <v>70090</v>
      </c>
      <c r="U47" s="512">
        <f>T47</f>
        <v>70090</v>
      </c>
      <c r="V47" s="89">
        <v>41400</v>
      </c>
      <c r="W47" s="514">
        <f>U47-V47-V48-V49</f>
        <v>0</v>
      </c>
      <c r="X47" s="360">
        <f>U47*0.77</f>
        <v>53969.3</v>
      </c>
      <c r="Y47" s="84">
        <f>V47*0.77</f>
        <v>31878</v>
      </c>
      <c r="Z47" s="518">
        <f>X47-Y47-Y48</f>
        <v>0</v>
      </c>
      <c r="AA47" s="19" t="s">
        <v>34</v>
      </c>
      <c r="AB47" s="19" t="s">
        <v>43</v>
      </c>
      <c r="AC47" s="101">
        <v>787.5</v>
      </c>
      <c r="AD47" s="353">
        <f>12420+8083.66</f>
        <v>20503.66</v>
      </c>
      <c r="AE47" s="353">
        <f>9108+4563.46</f>
        <v>13671.46</v>
      </c>
      <c r="AF47" s="481">
        <f>X47-AC47-AC48-AC49-AD47-AE47</f>
        <v>19006.680000000004</v>
      </c>
      <c r="AG47" s="491"/>
      <c r="AH47" s="252">
        <f>AD47/U47</f>
        <v>0.29253331431017265</v>
      </c>
      <c r="AI47" s="252">
        <f>AE47/(Q47*0.8)</f>
        <v>0.24381973177343413</v>
      </c>
    </row>
    <row r="48" spans="1:35" ht="30" customHeight="1" x14ac:dyDescent="0.2">
      <c r="A48" s="493"/>
      <c r="B48" s="495"/>
      <c r="C48" s="294"/>
      <c r="D48" s="498"/>
      <c r="E48" s="500"/>
      <c r="F48" s="411"/>
      <c r="G48" s="410"/>
      <c r="H48" s="412"/>
      <c r="I48" s="412"/>
      <c r="J48" s="470"/>
      <c r="K48" s="475"/>
      <c r="L48" s="507"/>
      <c r="M48" s="507"/>
      <c r="N48" s="381"/>
      <c r="O48" s="507"/>
      <c r="P48" s="510"/>
      <c r="Q48" s="475"/>
      <c r="R48" s="507"/>
      <c r="S48" s="507"/>
      <c r="T48" s="507"/>
      <c r="U48" s="512"/>
      <c r="V48" s="89">
        <v>28690</v>
      </c>
      <c r="W48" s="514"/>
      <c r="X48" s="360"/>
      <c r="Y48" s="84">
        <f>V48*0.77</f>
        <v>22091.3</v>
      </c>
      <c r="Z48" s="518"/>
      <c r="AA48" s="221"/>
      <c r="AB48" s="113"/>
      <c r="AC48" s="102"/>
      <c r="AD48" s="353"/>
      <c r="AE48" s="353"/>
      <c r="AF48" s="481"/>
      <c r="AG48" s="491"/>
    </row>
    <row r="49" spans="1:35" ht="30" customHeight="1" x14ac:dyDescent="0.2">
      <c r="A49" s="493"/>
      <c r="B49" s="495"/>
      <c r="C49" s="294"/>
      <c r="D49" s="517"/>
      <c r="E49" s="500"/>
      <c r="F49" s="411"/>
      <c r="G49" s="410"/>
      <c r="H49" s="412"/>
      <c r="I49" s="412"/>
      <c r="J49" s="470"/>
      <c r="K49" s="475"/>
      <c r="L49" s="507"/>
      <c r="M49" s="507"/>
      <c r="N49" s="381"/>
      <c r="O49" s="507"/>
      <c r="P49" s="510"/>
      <c r="Q49" s="475"/>
      <c r="R49" s="507"/>
      <c r="S49" s="507"/>
      <c r="T49" s="507"/>
      <c r="U49" s="512"/>
      <c r="V49" s="220"/>
      <c r="W49" s="514"/>
      <c r="X49" s="360"/>
      <c r="Y49" s="116"/>
      <c r="Z49" s="518"/>
      <c r="AA49" s="221"/>
      <c r="AB49" s="113"/>
      <c r="AC49" s="102"/>
      <c r="AD49" s="353"/>
      <c r="AE49" s="353"/>
      <c r="AF49" s="481"/>
      <c r="AG49" s="491"/>
    </row>
    <row r="50" spans="1:35" ht="30" customHeight="1" x14ac:dyDescent="0.2">
      <c r="A50" s="493">
        <v>22</v>
      </c>
      <c r="B50" s="495" t="s">
        <v>709</v>
      </c>
      <c r="C50" s="294"/>
      <c r="D50" s="497" t="s">
        <v>711</v>
      </c>
      <c r="E50" s="500" t="s">
        <v>713</v>
      </c>
      <c r="F50" s="411" t="s">
        <v>714</v>
      </c>
      <c r="G50" s="410" t="s">
        <v>715</v>
      </c>
      <c r="H50" s="412" t="s">
        <v>716</v>
      </c>
      <c r="I50" s="412" t="s">
        <v>639</v>
      </c>
      <c r="J50" s="470" t="s">
        <v>639</v>
      </c>
      <c r="K50" s="475">
        <v>88700</v>
      </c>
      <c r="L50" s="507">
        <v>0</v>
      </c>
      <c r="M50" s="507">
        <v>0</v>
      </c>
      <c r="N50" s="381">
        <v>75103</v>
      </c>
      <c r="O50" s="507">
        <v>0</v>
      </c>
      <c r="P50" s="510">
        <v>0</v>
      </c>
      <c r="Q50" s="475">
        <f>N50</f>
        <v>75103</v>
      </c>
      <c r="R50" s="507">
        <f>O50</f>
        <v>0</v>
      </c>
      <c r="S50" s="507">
        <f>P50</f>
        <v>0</v>
      </c>
      <c r="T50" s="507">
        <f>Q50+R50+S50</f>
        <v>75103</v>
      </c>
      <c r="U50" s="512">
        <f>T50</f>
        <v>75103</v>
      </c>
      <c r="V50" s="89">
        <v>44200</v>
      </c>
      <c r="W50" s="514">
        <f>U50-V50-V51</f>
        <v>0</v>
      </c>
      <c r="X50" s="360">
        <f>U50*0.77</f>
        <v>57829.310000000005</v>
      </c>
      <c r="Y50" s="84">
        <f>V50*0.77</f>
        <v>34034</v>
      </c>
      <c r="Z50" s="518">
        <f>X50-Y50-Y51</f>
        <v>0</v>
      </c>
      <c r="AA50" s="19" t="s">
        <v>34</v>
      </c>
      <c r="AB50" s="19" t="s">
        <v>43</v>
      </c>
      <c r="AC50" s="101">
        <v>500</v>
      </c>
      <c r="AD50" s="353">
        <f>13260+8705.07</f>
        <v>21965.07</v>
      </c>
      <c r="AE50" s="353">
        <f>9724+4915.46</f>
        <v>14639.46</v>
      </c>
      <c r="AF50" s="481">
        <f>X50-AC50-AC51-AC52-AD50-AE50</f>
        <v>20724.780000000006</v>
      </c>
      <c r="AG50" s="491"/>
      <c r="AH50" s="252">
        <f>AD50/U50</f>
        <v>0.29246594676644078</v>
      </c>
      <c r="AI50" s="252">
        <f>AE50/(Q50*0.8)</f>
        <v>0.24365637857342581</v>
      </c>
    </row>
    <row r="51" spans="1:35" ht="30" customHeight="1" x14ac:dyDescent="0.2">
      <c r="A51" s="493"/>
      <c r="B51" s="495"/>
      <c r="C51" s="294"/>
      <c r="D51" s="498"/>
      <c r="E51" s="500"/>
      <c r="F51" s="411"/>
      <c r="G51" s="410"/>
      <c r="H51" s="412"/>
      <c r="I51" s="412"/>
      <c r="J51" s="470"/>
      <c r="K51" s="475"/>
      <c r="L51" s="507"/>
      <c r="M51" s="507"/>
      <c r="N51" s="381"/>
      <c r="O51" s="507"/>
      <c r="P51" s="510"/>
      <c r="Q51" s="475"/>
      <c r="R51" s="507"/>
      <c r="S51" s="507"/>
      <c r="T51" s="507"/>
      <c r="U51" s="512"/>
      <c r="V51" s="89">
        <v>30903</v>
      </c>
      <c r="W51" s="514"/>
      <c r="X51" s="360"/>
      <c r="Y51" s="84">
        <f>V51*0.77</f>
        <v>23795.31</v>
      </c>
      <c r="Z51" s="518"/>
      <c r="AA51" s="221"/>
      <c r="AB51" s="113"/>
      <c r="AC51" s="102"/>
      <c r="AD51" s="353"/>
      <c r="AE51" s="353"/>
      <c r="AF51" s="481"/>
      <c r="AG51" s="491"/>
    </row>
    <row r="52" spans="1:35" ht="30" customHeight="1" thickBot="1" x14ac:dyDescent="0.25">
      <c r="A52" s="494"/>
      <c r="B52" s="496"/>
      <c r="C52" s="308"/>
      <c r="D52" s="499"/>
      <c r="E52" s="501"/>
      <c r="F52" s="502"/>
      <c r="G52" s="503"/>
      <c r="H52" s="504"/>
      <c r="I52" s="504"/>
      <c r="J52" s="505"/>
      <c r="K52" s="506"/>
      <c r="L52" s="508"/>
      <c r="M52" s="508"/>
      <c r="N52" s="509"/>
      <c r="O52" s="508"/>
      <c r="P52" s="511"/>
      <c r="Q52" s="506"/>
      <c r="R52" s="508"/>
      <c r="S52" s="508"/>
      <c r="T52" s="508"/>
      <c r="U52" s="513"/>
      <c r="V52" s="226"/>
      <c r="W52" s="515"/>
      <c r="X52" s="516"/>
      <c r="Y52" s="227"/>
      <c r="Z52" s="543"/>
      <c r="AA52" s="228"/>
      <c r="AB52" s="229"/>
      <c r="AC52" s="230"/>
      <c r="AD52" s="544"/>
      <c r="AE52" s="544"/>
      <c r="AF52" s="490"/>
      <c r="AG52" s="492"/>
    </row>
    <row r="53" spans="1:35" s="208" customFormat="1" ht="30" customHeight="1" thickBot="1" x14ac:dyDescent="0.25">
      <c r="A53" s="539" t="s">
        <v>224</v>
      </c>
      <c r="B53" s="540"/>
      <c r="C53" s="540"/>
      <c r="D53" s="540"/>
      <c r="E53" s="540"/>
      <c r="F53" s="540"/>
      <c r="G53" s="540"/>
      <c r="H53" s="540"/>
      <c r="I53" s="540"/>
      <c r="J53" s="540"/>
      <c r="K53" s="232">
        <f t="shared" ref="K53:Z53" si="2">SUM(K5:K52)</f>
        <v>11952745.585635949</v>
      </c>
      <c r="L53" s="232">
        <f t="shared" si="2"/>
        <v>482164.81</v>
      </c>
      <c r="M53" s="232">
        <f t="shared" si="2"/>
        <v>48000</v>
      </c>
      <c r="N53" s="232">
        <f t="shared" si="2"/>
        <v>10089025.885599999</v>
      </c>
      <c r="O53" s="232">
        <f t="shared" si="2"/>
        <v>353388.48690000002</v>
      </c>
      <c r="P53" s="232">
        <f t="shared" si="2"/>
        <v>48000</v>
      </c>
      <c r="Q53" s="232">
        <f t="shared" si="2"/>
        <v>9438253.379999999</v>
      </c>
      <c r="R53" s="232">
        <f t="shared" si="2"/>
        <v>308582.84999999998</v>
      </c>
      <c r="S53" s="232">
        <f t="shared" si="2"/>
        <v>48000</v>
      </c>
      <c r="T53" s="232">
        <f t="shared" si="2"/>
        <v>9794836.2299999986</v>
      </c>
      <c r="U53" s="235">
        <f t="shared" si="2"/>
        <v>9794836.2299999986</v>
      </c>
      <c r="V53" s="232">
        <f t="shared" si="2"/>
        <v>6041016.4900000002</v>
      </c>
      <c r="W53" s="232">
        <f t="shared" si="2"/>
        <v>3753819.74</v>
      </c>
      <c r="X53" s="236">
        <f t="shared" si="2"/>
        <v>7601716.2227999996</v>
      </c>
      <c r="Y53" s="232">
        <f t="shared" si="2"/>
        <v>4622090.4267999995</v>
      </c>
      <c r="Z53" s="232">
        <f t="shared" si="2"/>
        <v>2979625.7960000001</v>
      </c>
      <c r="AA53" s="234"/>
      <c r="AB53" s="234"/>
      <c r="AC53" s="232">
        <f>SUM(AC5:AC52)</f>
        <v>181984.66</v>
      </c>
      <c r="AD53" s="232">
        <f>SUM(AD5:AD52)</f>
        <v>586268.47</v>
      </c>
      <c r="AE53" s="232">
        <f>SUM(AE5:AE52)</f>
        <v>362664.70000000007</v>
      </c>
      <c r="AF53" s="238">
        <f>SUM(AF5:AF52)</f>
        <v>6478472.3928000005</v>
      </c>
      <c r="AG53" s="233"/>
      <c r="AH53" s="252"/>
      <c r="AI53" s="252"/>
    </row>
    <row r="54" spans="1:35" ht="24.95" customHeight="1" x14ac:dyDescent="0.2">
      <c r="B54" s="529"/>
      <c r="C54" s="529"/>
      <c r="D54" s="529"/>
      <c r="E54" s="529"/>
      <c r="F54" s="529"/>
      <c r="G54" s="529"/>
      <c r="H54" s="529"/>
      <c r="I54" s="529"/>
      <c r="J54" s="529"/>
      <c r="K54" s="529"/>
      <c r="L54" s="529"/>
      <c r="M54" s="529"/>
      <c r="N54" s="529"/>
      <c r="O54" s="529"/>
      <c r="P54" s="529"/>
      <c r="Q54" s="529"/>
      <c r="R54" s="529"/>
      <c r="S54" s="529"/>
      <c r="T54" s="529"/>
      <c r="U54" s="529"/>
      <c r="V54" s="529"/>
      <c r="W54" s="529"/>
      <c r="X54" s="529"/>
    </row>
    <row r="55" spans="1:35" ht="35.1" customHeight="1" x14ac:dyDescent="0.2"/>
    <row r="56" spans="1:35" ht="35.1" customHeight="1" x14ac:dyDescent="0.2"/>
    <row r="57" spans="1:35" ht="35.1" customHeight="1" x14ac:dyDescent="0.2"/>
    <row r="58" spans="1:35" ht="35.1" customHeight="1" x14ac:dyDescent="0.2"/>
  </sheetData>
  <mergeCells count="386">
    <mergeCell ref="O5:O6"/>
    <mergeCell ref="W5:W6"/>
    <mergeCell ref="T5:T6"/>
    <mergeCell ref="S5:S6"/>
    <mergeCell ref="R5:R6"/>
    <mergeCell ref="U3:U4"/>
    <mergeCell ref="U5:U6"/>
    <mergeCell ref="Z5:Z6"/>
    <mergeCell ref="D7:D9"/>
    <mergeCell ref="Q3:T3"/>
    <mergeCell ref="V3:W3"/>
    <mergeCell ref="J7:J9"/>
    <mergeCell ref="I7:I9"/>
    <mergeCell ref="H7:H9"/>
    <mergeCell ref="X5:X6"/>
    <mergeCell ref="AH2:AH4"/>
    <mergeCell ref="AF5:AF6"/>
    <mergeCell ref="AG2:AG4"/>
    <mergeCell ref="AD5:AD6"/>
    <mergeCell ref="F2:J2"/>
    <mergeCell ref="N2:P2"/>
    <mergeCell ref="N3:N4"/>
    <mergeCell ref="O3:O4"/>
    <mergeCell ref="P3:P4"/>
    <mergeCell ref="N5:N6"/>
    <mergeCell ref="J3:J4"/>
    <mergeCell ref="J5:J6"/>
    <mergeCell ref="K3:K4"/>
    <mergeCell ref="Q5:Q6"/>
    <mergeCell ref="Q2:W2"/>
    <mergeCell ref="X3:X4"/>
    <mergeCell ref="X2:AF2"/>
    <mergeCell ref="AF3:AF4"/>
    <mergeCell ref="Y3:Z3"/>
    <mergeCell ref="AA3:AE3"/>
    <mergeCell ref="AG5:AG6"/>
    <mergeCell ref="M5:M6"/>
    <mergeCell ref="L5:L6"/>
    <mergeCell ref="P5:P6"/>
    <mergeCell ref="Z50:Z52"/>
    <mergeCell ref="AE5:AE6"/>
    <mergeCell ref="AD16:AD18"/>
    <mergeCell ref="AE16:AE18"/>
    <mergeCell ref="AD19:AD25"/>
    <mergeCell ref="AE19:AE25"/>
    <mergeCell ref="AE35:AE37"/>
    <mergeCell ref="AD38:AD40"/>
    <mergeCell ref="AE38:AE40"/>
    <mergeCell ref="AD41:AD43"/>
    <mergeCell ref="AE41:AE43"/>
    <mergeCell ref="AD44:AD46"/>
    <mergeCell ref="AE44:AE46"/>
    <mergeCell ref="AD47:AD49"/>
    <mergeCell ref="AE47:AE49"/>
    <mergeCell ref="AD50:AD52"/>
    <mergeCell ref="AE50:AE52"/>
    <mergeCell ref="Z26:Z31"/>
    <mergeCell ref="AD26:AD31"/>
    <mergeCell ref="AE26:AE31"/>
    <mergeCell ref="X16:X18"/>
    <mergeCell ref="Z16:Z18"/>
    <mergeCell ref="Z19:Z25"/>
    <mergeCell ref="X38:X40"/>
    <mergeCell ref="Z38:Z40"/>
    <mergeCell ref="Z41:Z43"/>
    <mergeCell ref="Z44:Z46"/>
    <mergeCell ref="Z47:Z49"/>
    <mergeCell ref="A53:J53"/>
    <mergeCell ref="A26:A31"/>
    <mergeCell ref="B26:B31"/>
    <mergeCell ref="F26:F31"/>
    <mergeCell ref="G26:G31"/>
    <mergeCell ref="H26:H31"/>
    <mergeCell ref="I26:I31"/>
    <mergeCell ref="J26:J31"/>
    <mergeCell ref="T26:T31"/>
    <mergeCell ref="E16:E18"/>
    <mergeCell ref="F16:F18"/>
    <mergeCell ref="G16:G18"/>
    <mergeCell ref="H16:H18"/>
    <mergeCell ref="I16:I18"/>
    <mergeCell ref="J16:J18"/>
    <mergeCell ref="L32:L34"/>
    <mergeCell ref="B54:X54"/>
    <mergeCell ref="A2:A4"/>
    <mergeCell ref="A5:A6"/>
    <mergeCell ref="B3:B4"/>
    <mergeCell ref="B5:B6"/>
    <mergeCell ref="L7:L9"/>
    <mergeCell ref="K7:K9"/>
    <mergeCell ref="C3:C4"/>
    <mergeCell ref="D3:D4"/>
    <mergeCell ref="D5:D6"/>
    <mergeCell ref="E5:E6"/>
    <mergeCell ref="G3:G4"/>
    <mergeCell ref="G5:G6"/>
    <mergeCell ref="E7:E9"/>
    <mergeCell ref="F5:F6"/>
    <mergeCell ref="H3:H4"/>
    <mergeCell ref="H5:H6"/>
    <mergeCell ref="I5:I6"/>
    <mergeCell ref="K16:K18"/>
    <mergeCell ref="L16:L18"/>
    <mergeCell ref="M16:M18"/>
    <mergeCell ref="K5:K6"/>
    <mergeCell ref="K10:K12"/>
    <mergeCell ref="A7:A12"/>
    <mergeCell ref="A1:AG1"/>
    <mergeCell ref="B2:E2"/>
    <mergeCell ref="K2:M2"/>
    <mergeCell ref="E3:E4"/>
    <mergeCell ref="F3:F4"/>
    <mergeCell ref="I3:I4"/>
    <mergeCell ref="L3:L4"/>
    <mergeCell ref="M3:M4"/>
    <mergeCell ref="AG7:AG9"/>
    <mergeCell ref="AF7:AF9"/>
    <mergeCell ref="AE7:AE9"/>
    <mergeCell ref="AD7:AD9"/>
    <mergeCell ref="Z7:Z9"/>
    <mergeCell ref="X7:X9"/>
    <mergeCell ref="W7:W9"/>
    <mergeCell ref="U7:U9"/>
    <mergeCell ref="T7:T9"/>
    <mergeCell ref="S7:S9"/>
    <mergeCell ref="R7:R9"/>
    <mergeCell ref="Q7:Q9"/>
    <mergeCell ref="P7:P9"/>
    <mergeCell ref="O7:O9"/>
    <mergeCell ref="N7:N9"/>
    <mergeCell ref="M7:M9"/>
    <mergeCell ref="AG10:AG12"/>
    <mergeCell ref="L10:L12"/>
    <mergeCell ref="M10:M12"/>
    <mergeCell ref="N10:N12"/>
    <mergeCell ref="O10:O12"/>
    <mergeCell ref="P10:P12"/>
    <mergeCell ref="Q10:Q12"/>
    <mergeCell ref="R10:R12"/>
    <mergeCell ref="S10:S12"/>
    <mergeCell ref="T10:T12"/>
    <mergeCell ref="AG13:AG15"/>
    <mergeCell ref="A13:A15"/>
    <mergeCell ref="B13:B15"/>
    <mergeCell ref="D13:D15"/>
    <mergeCell ref="E13:E15"/>
    <mergeCell ref="F13:F15"/>
    <mergeCell ref="G13:G15"/>
    <mergeCell ref="H13:H15"/>
    <mergeCell ref="I13:I15"/>
    <mergeCell ref="J13:J15"/>
    <mergeCell ref="K13:K15"/>
    <mergeCell ref="L13:L15"/>
    <mergeCell ref="M13:M15"/>
    <mergeCell ref="N13:N15"/>
    <mergeCell ref="O13:O15"/>
    <mergeCell ref="P13:P15"/>
    <mergeCell ref="Q13:Q15"/>
    <mergeCell ref="R13:R15"/>
    <mergeCell ref="S13:S15"/>
    <mergeCell ref="T13:T15"/>
    <mergeCell ref="U13:U15"/>
    <mergeCell ref="W13:W15"/>
    <mergeCell ref="X13:X15"/>
    <mergeCell ref="Z13:Z15"/>
    <mergeCell ref="AG16:AG18"/>
    <mergeCell ref="A19:A25"/>
    <mergeCell ref="B19:B25"/>
    <mergeCell ref="F19:F25"/>
    <mergeCell ref="G19:G25"/>
    <mergeCell ref="H19:H25"/>
    <mergeCell ref="I19:I25"/>
    <mergeCell ref="J19:J25"/>
    <mergeCell ref="T19:T25"/>
    <mergeCell ref="U19:U25"/>
    <mergeCell ref="W19:W25"/>
    <mergeCell ref="X19:X25"/>
    <mergeCell ref="N16:N18"/>
    <mergeCell ref="O16:O18"/>
    <mergeCell ref="P16:P18"/>
    <mergeCell ref="Q16:Q18"/>
    <mergeCell ref="R16:R18"/>
    <mergeCell ref="S16:S18"/>
    <mergeCell ref="T16:T18"/>
    <mergeCell ref="U16:U18"/>
    <mergeCell ref="W16:W18"/>
    <mergeCell ref="A16:A18"/>
    <mergeCell ref="B16:B18"/>
    <mergeCell ref="D16:D18"/>
    <mergeCell ref="D10:D12"/>
    <mergeCell ref="E10:E12"/>
    <mergeCell ref="F10:F12"/>
    <mergeCell ref="G10:G12"/>
    <mergeCell ref="H10:H12"/>
    <mergeCell ref="I10:I12"/>
    <mergeCell ref="J10:J12"/>
    <mergeCell ref="G7:G9"/>
    <mergeCell ref="F7:F9"/>
    <mergeCell ref="M32:M34"/>
    <mergeCell ref="N32:N34"/>
    <mergeCell ref="O32:O34"/>
    <mergeCell ref="P32:P34"/>
    <mergeCell ref="Q32:Q34"/>
    <mergeCell ref="R32:R34"/>
    <mergeCell ref="AF19:AF25"/>
    <mergeCell ref="B7:B12"/>
    <mergeCell ref="U26:U31"/>
    <mergeCell ref="AF16:AF18"/>
    <mergeCell ref="AF13:AF15"/>
    <mergeCell ref="AD13:AD15"/>
    <mergeCell ref="AE13:AE15"/>
    <mergeCell ref="U10:U12"/>
    <mergeCell ref="W10:W12"/>
    <mergeCell ref="X10:X12"/>
    <mergeCell ref="Z10:Z12"/>
    <mergeCell ref="AD10:AD12"/>
    <mergeCell ref="AE10:AE12"/>
    <mergeCell ref="AF10:AF12"/>
    <mergeCell ref="AE32:AE34"/>
    <mergeCell ref="AF32:AF34"/>
    <mergeCell ref="W26:W31"/>
    <mergeCell ref="X26:X31"/>
    <mergeCell ref="A32:A34"/>
    <mergeCell ref="B32:B34"/>
    <mergeCell ref="E32:E34"/>
    <mergeCell ref="F32:F34"/>
    <mergeCell ref="G32:G34"/>
    <mergeCell ref="H32:H34"/>
    <mergeCell ref="I32:I34"/>
    <mergeCell ref="J32:J34"/>
    <mergeCell ref="K32:K34"/>
    <mergeCell ref="AF26:AF31"/>
    <mergeCell ref="AG26:AG31"/>
    <mergeCell ref="Z35:Z37"/>
    <mergeCell ref="AD35:AD37"/>
    <mergeCell ref="S32:S34"/>
    <mergeCell ref="T32:T34"/>
    <mergeCell ref="U32:U34"/>
    <mergeCell ref="W32:W34"/>
    <mergeCell ref="X32:X34"/>
    <mergeCell ref="Z32:Z34"/>
    <mergeCell ref="AD32:AD34"/>
    <mergeCell ref="U38:U40"/>
    <mergeCell ref="W38:W40"/>
    <mergeCell ref="AG32:AG34"/>
    <mergeCell ref="A35:A37"/>
    <mergeCell ref="B35:B37"/>
    <mergeCell ref="E35:E37"/>
    <mergeCell ref="F35:F37"/>
    <mergeCell ref="G35:G37"/>
    <mergeCell ref="H35:H37"/>
    <mergeCell ref="I35:I37"/>
    <mergeCell ref="J35:J37"/>
    <mergeCell ref="K35:K37"/>
    <mergeCell ref="L35:L37"/>
    <mergeCell ref="M35:M37"/>
    <mergeCell ref="N35:N37"/>
    <mergeCell ref="O35:O37"/>
    <mergeCell ref="P35:P37"/>
    <mergeCell ref="Q35:Q37"/>
    <mergeCell ref="R35:R37"/>
    <mergeCell ref="S35:S37"/>
    <mergeCell ref="T35:T37"/>
    <mergeCell ref="U35:U37"/>
    <mergeCell ref="W35:W37"/>
    <mergeCell ref="X35:X37"/>
    <mergeCell ref="W41:W43"/>
    <mergeCell ref="X41:X43"/>
    <mergeCell ref="AF35:AF37"/>
    <mergeCell ref="AG35:AG37"/>
    <mergeCell ref="D35:D37"/>
    <mergeCell ref="A38:A40"/>
    <mergeCell ref="B38:B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W44:W46"/>
    <mergeCell ref="X44:X46"/>
    <mergeCell ref="AF38:AF40"/>
    <mergeCell ref="AG38:AG40"/>
    <mergeCell ref="A41:A43"/>
    <mergeCell ref="B41:B43"/>
    <mergeCell ref="D41:D43"/>
    <mergeCell ref="E41:E43"/>
    <mergeCell ref="F41:F43"/>
    <mergeCell ref="G41:G43"/>
    <mergeCell ref="H41:H43"/>
    <mergeCell ref="I41:I43"/>
    <mergeCell ref="J41:J43"/>
    <mergeCell ref="K41:K43"/>
    <mergeCell ref="L41:L43"/>
    <mergeCell ref="M41:M43"/>
    <mergeCell ref="N41:N43"/>
    <mergeCell ref="O41:O43"/>
    <mergeCell ref="P41:P43"/>
    <mergeCell ref="Q41:Q43"/>
    <mergeCell ref="R41:R43"/>
    <mergeCell ref="S41:S43"/>
    <mergeCell ref="T41:T43"/>
    <mergeCell ref="U41:U43"/>
    <mergeCell ref="W47:W49"/>
    <mergeCell ref="X47:X49"/>
    <mergeCell ref="AF41:AF43"/>
    <mergeCell ref="AG41:AG43"/>
    <mergeCell ref="A44:A46"/>
    <mergeCell ref="B44:B46"/>
    <mergeCell ref="D44:D46"/>
    <mergeCell ref="E44:E46"/>
    <mergeCell ref="F44:F46"/>
    <mergeCell ref="G44:G46"/>
    <mergeCell ref="H44:H46"/>
    <mergeCell ref="I44:I46"/>
    <mergeCell ref="J44:J46"/>
    <mergeCell ref="K44:K46"/>
    <mergeCell ref="L44:L46"/>
    <mergeCell ref="M44:M46"/>
    <mergeCell ref="N44:N46"/>
    <mergeCell ref="O44:O46"/>
    <mergeCell ref="P44:P46"/>
    <mergeCell ref="Q44:Q46"/>
    <mergeCell ref="R44:R46"/>
    <mergeCell ref="S44:S46"/>
    <mergeCell ref="T44:T46"/>
    <mergeCell ref="U44:U46"/>
    <mergeCell ref="W50:W52"/>
    <mergeCell ref="X50:X52"/>
    <mergeCell ref="AF44:AF46"/>
    <mergeCell ref="AG44:AG46"/>
    <mergeCell ref="A47:A49"/>
    <mergeCell ref="B47:B49"/>
    <mergeCell ref="D47:D49"/>
    <mergeCell ref="E47:E49"/>
    <mergeCell ref="F47:F49"/>
    <mergeCell ref="G47:G49"/>
    <mergeCell ref="H47:H49"/>
    <mergeCell ref="I47:I49"/>
    <mergeCell ref="J47:J49"/>
    <mergeCell ref="K47:K49"/>
    <mergeCell ref="L47:L49"/>
    <mergeCell ref="M47:M49"/>
    <mergeCell ref="N47:N49"/>
    <mergeCell ref="O47:O49"/>
    <mergeCell ref="P47:P49"/>
    <mergeCell ref="Q47:Q49"/>
    <mergeCell ref="R47:R49"/>
    <mergeCell ref="S47:S49"/>
    <mergeCell ref="T47:T49"/>
    <mergeCell ref="U47:U49"/>
    <mergeCell ref="AF50:AF52"/>
    <mergeCell ref="AG50:AG52"/>
    <mergeCell ref="AF47:AF49"/>
    <mergeCell ref="AG47:AG49"/>
    <mergeCell ref="A50:A52"/>
    <mergeCell ref="B50:B52"/>
    <mergeCell ref="D50:D52"/>
    <mergeCell ref="E50:E52"/>
    <mergeCell ref="F50:F52"/>
    <mergeCell ref="G50:G52"/>
    <mergeCell ref="H50:H52"/>
    <mergeCell ref="I50:I52"/>
    <mergeCell ref="J50:J52"/>
    <mergeCell ref="K50:K52"/>
    <mergeCell ref="L50:L52"/>
    <mergeCell ref="M50:M52"/>
    <mergeCell ref="N50:N52"/>
    <mergeCell ref="O50:O52"/>
    <mergeCell ref="P50:P52"/>
    <mergeCell ref="Q50:Q52"/>
    <mergeCell ref="R50:R52"/>
    <mergeCell ref="S50:S52"/>
    <mergeCell ref="T50:T52"/>
    <mergeCell ref="U50:U52"/>
  </mergeCells>
  <phoneticPr fontId="37" type="noConversion"/>
  <conditionalFormatting sqref="W5:W6 W10:W52">
    <cfRule type="cellIs" dxfId="32" priority="1" operator="greaterThan">
      <formula>0</formula>
    </cfRule>
  </conditionalFormatting>
  <conditionalFormatting sqref="Z5:Z43 Z47:Z52">
    <cfRule type="cellIs" dxfId="31" priority="2" operator="greaterThan">
      <formula>0</formula>
    </cfRule>
  </conditionalFormatting>
  <printOptions horizontalCentered="1"/>
  <pageMargins left="0.39370078740157499" right="0.39370078740157499" top="0.39370078740157499" bottom="0.39370078740157499" header="0.196850393700787" footer="0.196850393700787"/>
  <pageSetup paperSize="8" scale="80" fitToWidth="0" fitToHeight="0" orientation="landscape" r:id="rId1"/>
  <headerFooter alignWithMargins="0"/>
  <ignoredErrors>
    <ignoredError sqref="H13 H16" numberStoredAsText="1"/>
    <ignoredError sqref="X3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98"/>
  <sheetViews>
    <sheetView zoomScaleNormal="100" workbookViewId="0">
      <pane xSplit="2" ySplit="4" topLeftCell="T29" activePane="bottomRight" state="frozen"/>
      <selection pane="topRight" activeCell="C1" sqref="C1"/>
      <selection pane="bottomLeft" activeCell="A5" sqref="A5"/>
      <selection pane="bottomRight" sqref="A1:AJ1"/>
    </sheetView>
  </sheetViews>
  <sheetFormatPr defaultColWidth="9.140625" defaultRowHeight="24.95" customHeight="1" x14ac:dyDescent="0.2"/>
  <cols>
    <col min="1" max="1" width="3.7109375" style="1" customWidth="1"/>
    <col min="2" max="2" width="50.7109375" style="298" customWidth="1"/>
    <col min="3" max="3" width="8.28515625" style="298" customWidth="1"/>
    <col min="4" max="4" width="25.7109375" style="298" customWidth="1"/>
    <col min="5" max="5" width="10.7109375" style="1" customWidth="1"/>
    <col min="6" max="7" width="15.7109375" style="3" customWidth="1"/>
    <col min="8" max="8" width="8.28515625" style="3" customWidth="1"/>
    <col min="9" max="9" width="10.7109375" style="4" customWidth="1"/>
    <col min="10" max="11" width="8.28515625" style="4" customWidth="1"/>
    <col min="12" max="21" width="15.7109375" style="5" customWidth="1"/>
    <col min="22" max="22" width="15.7109375" style="166" customWidth="1"/>
    <col min="23" max="25" width="15.7109375" style="5" customWidth="1"/>
    <col min="26" max="26" width="15.7109375" style="173" customWidth="1"/>
    <col min="27" max="29" width="15.7109375" style="5" customWidth="1"/>
    <col min="30" max="31" width="10.7109375" style="8" customWidth="1"/>
    <col min="32" max="34" width="15.7109375" style="5" customWidth="1"/>
    <col min="35" max="35" width="15.7109375" style="157" customWidth="1"/>
    <col min="36" max="36" width="20.7109375" style="3" customWidth="1"/>
    <col min="37" max="38" width="10.7109375" style="252" customWidth="1"/>
    <col min="39" max="39" width="12.85546875" style="1" customWidth="1"/>
    <col min="40" max="16384" width="9.140625" style="1"/>
  </cols>
  <sheetData>
    <row r="1" spans="1:38" ht="30" customHeight="1" thickBot="1" x14ac:dyDescent="0.25">
      <c r="A1" s="585" t="s">
        <v>225</v>
      </c>
      <c r="B1" s="586"/>
      <c r="C1" s="586"/>
      <c r="D1" s="586"/>
      <c r="E1" s="586"/>
      <c r="F1" s="586"/>
      <c r="G1" s="586"/>
      <c r="H1" s="586"/>
      <c r="I1" s="586"/>
      <c r="J1" s="586"/>
      <c r="K1" s="586"/>
      <c r="L1" s="586"/>
      <c r="M1" s="586"/>
      <c r="N1" s="586"/>
      <c r="O1" s="586"/>
      <c r="P1" s="586"/>
      <c r="Q1" s="586"/>
      <c r="R1" s="586"/>
      <c r="S1" s="586"/>
      <c r="T1" s="586"/>
      <c r="U1" s="586"/>
      <c r="V1" s="586"/>
      <c r="W1" s="586"/>
      <c r="X1" s="586"/>
      <c r="Y1" s="586"/>
      <c r="Z1" s="586"/>
      <c r="AA1" s="586"/>
      <c r="AB1" s="586"/>
      <c r="AC1" s="586"/>
      <c r="AD1" s="586"/>
      <c r="AE1" s="586"/>
      <c r="AF1" s="586"/>
      <c r="AG1" s="586"/>
      <c r="AH1" s="586"/>
      <c r="AI1" s="586"/>
      <c r="AJ1" s="586"/>
    </row>
    <row r="2" spans="1:38" ht="24.95" customHeight="1" x14ac:dyDescent="0.2">
      <c r="A2" s="530" t="s">
        <v>1</v>
      </c>
      <c r="B2" s="446" t="s">
        <v>2</v>
      </c>
      <c r="C2" s="446"/>
      <c r="D2" s="446"/>
      <c r="E2" s="446"/>
      <c r="F2" s="446"/>
      <c r="G2" s="587" t="s">
        <v>210</v>
      </c>
      <c r="H2" s="588"/>
      <c r="I2" s="588"/>
      <c r="J2" s="588"/>
      <c r="K2" s="589"/>
      <c r="L2" s="405" t="s">
        <v>211</v>
      </c>
      <c r="M2" s="405"/>
      <c r="N2" s="405"/>
      <c r="O2" s="405" t="s">
        <v>649</v>
      </c>
      <c r="P2" s="405"/>
      <c r="Q2" s="405"/>
      <c r="R2" s="590" t="s">
        <v>654</v>
      </c>
      <c r="S2" s="590"/>
      <c r="T2" s="590"/>
      <c r="U2" s="590"/>
      <c r="V2" s="590"/>
      <c r="W2" s="590"/>
      <c r="X2" s="590"/>
      <c r="Y2" s="591"/>
      <c r="Z2" s="592" t="s">
        <v>212</v>
      </c>
      <c r="AA2" s="593"/>
      <c r="AB2" s="593"/>
      <c r="AC2" s="593"/>
      <c r="AD2" s="593"/>
      <c r="AE2" s="593"/>
      <c r="AF2" s="593"/>
      <c r="AG2" s="593"/>
      <c r="AH2" s="593"/>
      <c r="AI2" s="594"/>
      <c r="AJ2" s="606" t="s">
        <v>8</v>
      </c>
      <c r="AK2" s="545"/>
    </row>
    <row r="3" spans="1:38" ht="24.95" customHeight="1" x14ac:dyDescent="0.2">
      <c r="A3" s="456"/>
      <c r="B3" s="532" t="s">
        <v>9</v>
      </c>
      <c r="C3" s="532" t="s">
        <v>213</v>
      </c>
      <c r="D3" s="532" t="s">
        <v>10</v>
      </c>
      <c r="E3" s="427" t="s">
        <v>214</v>
      </c>
      <c r="F3" s="427" t="s">
        <v>11</v>
      </c>
      <c r="G3" s="427" t="s">
        <v>12</v>
      </c>
      <c r="H3" s="427" t="s">
        <v>13</v>
      </c>
      <c r="I3" s="429" t="s">
        <v>14</v>
      </c>
      <c r="J3" s="466" t="s">
        <v>15</v>
      </c>
      <c r="K3" s="466" t="s">
        <v>16</v>
      </c>
      <c r="L3" s="407" t="s">
        <v>17</v>
      </c>
      <c r="M3" s="407" t="s">
        <v>18</v>
      </c>
      <c r="N3" s="407" t="s">
        <v>648</v>
      </c>
      <c r="O3" s="407" t="s">
        <v>17</v>
      </c>
      <c r="P3" s="407" t="s">
        <v>18</v>
      </c>
      <c r="Q3" s="407" t="s">
        <v>276</v>
      </c>
      <c r="R3" s="595" t="s">
        <v>655</v>
      </c>
      <c r="S3" s="595"/>
      <c r="T3" s="595"/>
      <c r="U3" s="595"/>
      <c r="V3" s="602" t="s">
        <v>656</v>
      </c>
      <c r="W3" s="596" t="s">
        <v>5</v>
      </c>
      <c r="X3" s="596"/>
      <c r="Y3" s="597"/>
      <c r="Z3" s="657" t="s">
        <v>220</v>
      </c>
      <c r="AA3" s="598"/>
      <c r="AB3" s="598"/>
      <c r="AC3" s="599"/>
      <c r="AD3" s="600" t="s">
        <v>6</v>
      </c>
      <c r="AE3" s="598"/>
      <c r="AF3" s="598"/>
      <c r="AG3" s="598"/>
      <c r="AH3" s="599"/>
      <c r="AI3" s="604" t="s">
        <v>7</v>
      </c>
      <c r="AJ3" s="607"/>
      <c r="AK3" s="545"/>
    </row>
    <row r="4" spans="1:38" ht="24.95" customHeight="1" thickBot="1" x14ac:dyDescent="0.25">
      <c r="A4" s="457"/>
      <c r="B4" s="601"/>
      <c r="C4" s="601"/>
      <c r="D4" s="601"/>
      <c r="E4" s="428"/>
      <c r="F4" s="428"/>
      <c r="G4" s="428"/>
      <c r="H4" s="428"/>
      <c r="I4" s="430"/>
      <c r="J4" s="467"/>
      <c r="K4" s="467"/>
      <c r="L4" s="408"/>
      <c r="M4" s="408"/>
      <c r="N4" s="408"/>
      <c r="O4" s="408"/>
      <c r="P4" s="408"/>
      <c r="Q4" s="408"/>
      <c r="R4" s="69" t="s">
        <v>17</v>
      </c>
      <c r="S4" s="69" t="s">
        <v>18</v>
      </c>
      <c r="T4" s="69" t="s">
        <v>276</v>
      </c>
      <c r="U4" s="69" t="s">
        <v>657</v>
      </c>
      <c r="V4" s="603"/>
      <c r="W4" s="69" t="s">
        <v>319</v>
      </c>
      <c r="X4" s="69" t="s">
        <v>19</v>
      </c>
      <c r="Y4" s="69" t="s">
        <v>20</v>
      </c>
      <c r="Z4" s="658"/>
      <c r="AA4" s="33" t="s">
        <v>319</v>
      </c>
      <c r="AB4" s="33" t="s">
        <v>221</v>
      </c>
      <c r="AC4" s="33" t="s">
        <v>20</v>
      </c>
      <c r="AD4" s="34" t="s">
        <v>21</v>
      </c>
      <c r="AE4" s="34" t="s">
        <v>22</v>
      </c>
      <c r="AF4" s="33" t="s">
        <v>23</v>
      </c>
      <c r="AG4" s="33" t="s">
        <v>24</v>
      </c>
      <c r="AH4" s="33" t="s">
        <v>25</v>
      </c>
      <c r="AI4" s="605"/>
      <c r="AJ4" s="608"/>
      <c r="AK4" s="545"/>
    </row>
    <row r="5" spans="1:38" ht="24.95" customHeight="1" x14ac:dyDescent="0.2">
      <c r="A5" s="616">
        <v>1</v>
      </c>
      <c r="B5" s="617" t="s">
        <v>320</v>
      </c>
      <c r="C5" s="624" t="s">
        <v>321</v>
      </c>
      <c r="D5" s="522" t="s">
        <v>322</v>
      </c>
      <c r="E5" s="625" t="s">
        <v>222</v>
      </c>
      <c r="F5" s="364" t="s">
        <v>323</v>
      </c>
      <c r="G5" s="691" t="s">
        <v>29</v>
      </c>
      <c r="H5" s="625" t="s">
        <v>30</v>
      </c>
      <c r="I5" s="618" t="s">
        <v>31</v>
      </c>
      <c r="J5" s="618" t="s">
        <v>32</v>
      </c>
      <c r="K5" s="618" t="s">
        <v>33</v>
      </c>
      <c r="L5" s="636">
        <v>133940</v>
      </c>
      <c r="M5" s="636">
        <v>28026</v>
      </c>
      <c r="N5" s="64"/>
      <c r="O5" s="636">
        <v>193940</v>
      </c>
      <c r="P5" s="636">
        <v>28026</v>
      </c>
      <c r="Q5" s="64"/>
      <c r="R5" s="653">
        <f>O5</f>
        <v>193940</v>
      </c>
      <c r="S5" s="653">
        <f>P5</f>
        <v>28026</v>
      </c>
      <c r="T5" s="70"/>
      <c r="U5" s="653">
        <f>R5+S5</f>
        <v>221966</v>
      </c>
      <c r="V5" s="682">
        <f>R5+S5</f>
        <v>221966</v>
      </c>
      <c r="W5" s="28">
        <v>133179.6</v>
      </c>
      <c r="X5" s="28">
        <v>133179.6</v>
      </c>
      <c r="Y5" s="538">
        <f>V5-X5-X6</f>
        <v>0</v>
      </c>
      <c r="Z5" s="659">
        <f>V5*0.8</f>
        <v>177572.80000000002</v>
      </c>
      <c r="AA5" s="31">
        <f>W5*0.8</f>
        <v>106543.68000000001</v>
      </c>
      <c r="AB5" s="29">
        <f>X5*0.8</f>
        <v>106543.68000000001</v>
      </c>
      <c r="AC5" s="536">
        <f>Z5-AB5-AB6</f>
        <v>0</v>
      </c>
      <c r="AD5" s="71" t="s">
        <v>324</v>
      </c>
      <c r="AE5" s="71" t="s">
        <v>43</v>
      </c>
      <c r="AF5" s="72">
        <f>3.01*2500</f>
        <v>7524.9999999999991</v>
      </c>
      <c r="AG5" s="538">
        <v>21258.720000000001</v>
      </c>
      <c r="AH5" s="538">
        <f>15797.72</f>
        <v>15797.72</v>
      </c>
      <c r="AI5" s="674">
        <f>Z5-AG5-AH5</f>
        <v>140516.36000000002</v>
      </c>
      <c r="AJ5" s="683" t="s">
        <v>325</v>
      </c>
      <c r="AK5" s="252">
        <f>AG5/V5</f>
        <v>9.5774668192425874E-2</v>
      </c>
      <c r="AL5" s="252">
        <f>AH5/R5/0.8</f>
        <v>0.1018209239971125</v>
      </c>
    </row>
    <row r="6" spans="1:38" ht="24.95" customHeight="1" x14ac:dyDescent="0.2">
      <c r="A6" s="534"/>
      <c r="B6" s="521"/>
      <c r="C6" s="613"/>
      <c r="D6" s="495"/>
      <c r="E6" s="621"/>
      <c r="F6" s="411"/>
      <c r="G6" s="363"/>
      <c r="H6" s="621"/>
      <c r="I6" s="619"/>
      <c r="J6" s="619"/>
      <c r="K6" s="619"/>
      <c r="L6" s="637"/>
      <c r="M6" s="637"/>
      <c r="N6" s="65"/>
      <c r="O6" s="637"/>
      <c r="P6" s="637"/>
      <c r="Q6" s="65"/>
      <c r="R6" s="538"/>
      <c r="S6" s="538"/>
      <c r="T6" s="67"/>
      <c r="U6" s="538"/>
      <c r="V6" s="555"/>
      <c r="W6" s="29">
        <v>88786.4</v>
      </c>
      <c r="X6" s="29">
        <f>W6</f>
        <v>88786.4</v>
      </c>
      <c r="Y6" s="518"/>
      <c r="Z6" s="660"/>
      <c r="AA6" s="31">
        <f>W6*0.8</f>
        <v>71029.119999999995</v>
      </c>
      <c r="AB6" s="29">
        <f>X6*0.8</f>
        <v>71029.119999999995</v>
      </c>
      <c r="AC6" s="538"/>
      <c r="AD6" s="73" t="s">
        <v>324</v>
      </c>
      <c r="AE6" s="73" t="s">
        <v>36</v>
      </c>
      <c r="AF6" s="74">
        <f>13*150</f>
        <v>1950</v>
      </c>
      <c r="AG6" s="518"/>
      <c r="AH6" s="518"/>
      <c r="AI6" s="671"/>
      <c r="AJ6" s="684"/>
    </row>
    <row r="7" spans="1:38" ht="24.95" customHeight="1" x14ac:dyDescent="0.2">
      <c r="A7" s="534"/>
      <c r="B7" s="521"/>
      <c r="C7" s="613"/>
      <c r="D7" s="520" t="s">
        <v>326</v>
      </c>
      <c r="E7" s="621"/>
      <c r="F7" s="362" t="s">
        <v>323</v>
      </c>
      <c r="G7" s="363"/>
      <c r="H7" s="621"/>
      <c r="I7" s="619"/>
      <c r="J7" s="619"/>
      <c r="K7" s="619"/>
      <c r="L7" s="641">
        <v>134848</v>
      </c>
      <c r="M7" s="641">
        <v>259000</v>
      </c>
      <c r="N7" s="65"/>
      <c r="O7" s="557">
        <v>131768</v>
      </c>
      <c r="P7" s="557">
        <v>256410</v>
      </c>
      <c r="Q7" s="65"/>
      <c r="R7" s="536">
        <f>O7</f>
        <v>131768</v>
      </c>
      <c r="S7" s="536">
        <f>P7</f>
        <v>256410</v>
      </c>
      <c r="T7" s="67"/>
      <c r="U7" s="536">
        <f>R7+S7</f>
        <v>388178</v>
      </c>
      <c r="V7" s="554">
        <f>U7</f>
        <v>388178</v>
      </c>
      <c r="W7" s="29">
        <v>310542.40000000002</v>
      </c>
      <c r="X7" s="29">
        <f>W7</f>
        <v>310542.40000000002</v>
      </c>
      <c r="Y7" s="536">
        <f>V7-X7-X8</f>
        <v>0</v>
      </c>
      <c r="Z7" s="661">
        <f>V7*0.8</f>
        <v>310542.40000000002</v>
      </c>
      <c r="AA7" s="31">
        <f>W7*0.8</f>
        <v>248433.92000000004</v>
      </c>
      <c r="AB7" s="29">
        <v>248433.92000000001</v>
      </c>
      <c r="AC7" s="536">
        <f>Z7-AB7-AB8</f>
        <v>0</v>
      </c>
      <c r="AD7" s="36" t="s">
        <v>735</v>
      </c>
      <c r="AE7" s="36" t="s">
        <v>43</v>
      </c>
      <c r="AF7" s="29">
        <f>(67.9-42)*2500</f>
        <v>64750.000000000015</v>
      </c>
      <c r="AG7" s="536">
        <f>72897.28</f>
        <v>72897.279999999999</v>
      </c>
      <c r="AH7" s="536"/>
      <c r="AI7" s="672">
        <f>Z7-AF7-AF8-AG7-AH7</f>
        <v>169745.12000000002</v>
      </c>
      <c r="AJ7" s="687"/>
      <c r="AK7" s="252">
        <f>AG7/V7</f>
        <v>0.18779343497055473</v>
      </c>
      <c r="AL7" s="252">
        <f>AH7/R7/0.8</f>
        <v>0</v>
      </c>
    </row>
    <row r="8" spans="1:38" ht="24.95" customHeight="1" x14ac:dyDescent="0.2">
      <c r="A8" s="535"/>
      <c r="B8" s="522"/>
      <c r="C8" s="614"/>
      <c r="D8" s="522"/>
      <c r="E8" s="463"/>
      <c r="F8" s="364"/>
      <c r="G8" s="364"/>
      <c r="H8" s="463"/>
      <c r="I8" s="468"/>
      <c r="J8" s="468"/>
      <c r="K8" s="468"/>
      <c r="L8" s="636"/>
      <c r="M8" s="636"/>
      <c r="N8" s="65"/>
      <c r="O8" s="559"/>
      <c r="P8" s="559"/>
      <c r="Q8" s="65"/>
      <c r="R8" s="538"/>
      <c r="S8" s="538"/>
      <c r="T8" s="67"/>
      <c r="U8" s="538"/>
      <c r="V8" s="555"/>
      <c r="W8" s="29">
        <v>77635.600000000006</v>
      </c>
      <c r="X8" s="29">
        <v>77635.600000000006</v>
      </c>
      <c r="Y8" s="538"/>
      <c r="Z8" s="660"/>
      <c r="AA8" s="29">
        <f>W8*0.8</f>
        <v>62108.48000000001</v>
      </c>
      <c r="AB8" s="29">
        <f>AA8</f>
        <v>62108.48000000001</v>
      </c>
      <c r="AC8" s="538"/>
      <c r="AD8" s="36" t="s">
        <v>34</v>
      </c>
      <c r="AE8" s="36" t="s">
        <v>36</v>
      </c>
      <c r="AF8" s="29">
        <f>21*150</f>
        <v>3150</v>
      </c>
      <c r="AG8" s="538"/>
      <c r="AH8" s="538"/>
      <c r="AI8" s="674"/>
      <c r="AJ8" s="688"/>
    </row>
    <row r="9" spans="1:38" ht="24.95" customHeight="1" x14ac:dyDescent="0.2">
      <c r="A9" s="493">
        <v>4</v>
      </c>
      <c r="B9" s="495" t="s">
        <v>328</v>
      </c>
      <c r="C9" s="612" t="s">
        <v>327</v>
      </c>
      <c r="D9" s="520" t="s">
        <v>329</v>
      </c>
      <c r="E9" s="626" t="s">
        <v>330</v>
      </c>
      <c r="F9" s="411" t="s">
        <v>331</v>
      </c>
      <c r="G9" s="411" t="s">
        <v>332</v>
      </c>
      <c r="H9" s="410" t="s">
        <v>316</v>
      </c>
      <c r="I9" s="412" t="s">
        <v>317</v>
      </c>
      <c r="J9" s="412" t="s">
        <v>33</v>
      </c>
      <c r="K9" s="412" t="s">
        <v>33</v>
      </c>
      <c r="L9" s="557">
        <v>387100</v>
      </c>
      <c r="M9" s="557">
        <v>101800</v>
      </c>
      <c r="N9" s="557">
        <v>50000</v>
      </c>
      <c r="O9" s="557">
        <v>198537.16</v>
      </c>
      <c r="P9" s="557">
        <v>101800</v>
      </c>
      <c r="Q9" s="557">
        <v>50000</v>
      </c>
      <c r="R9" s="29">
        <f>O9</f>
        <v>198537.16</v>
      </c>
      <c r="S9" s="29">
        <f>P9</f>
        <v>101800</v>
      </c>
      <c r="T9" s="29">
        <v>0</v>
      </c>
      <c r="U9" s="29">
        <f>R9+S9+T9</f>
        <v>300337.16000000003</v>
      </c>
      <c r="V9" s="554">
        <f>U9+U10+U13</f>
        <v>350337.16000000003</v>
      </c>
      <c r="W9" s="29">
        <f>R9+S9+T9</f>
        <v>300337.16000000003</v>
      </c>
      <c r="X9" s="29">
        <f>W9</f>
        <v>300337.16000000003</v>
      </c>
      <c r="Y9" s="518">
        <f>V9-X9-X10-X13</f>
        <v>0</v>
      </c>
      <c r="Z9" s="661">
        <f>V9*0.8-0.01</f>
        <v>280269.71800000005</v>
      </c>
      <c r="AA9" s="29">
        <v>105118</v>
      </c>
      <c r="AB9" s="29">
        <f>AA9</f>
        <v>105118</v>
      </c>
      <c r="AC9" s="536">
        <f>Z9-AB9-AB10-AB11-AB12</f>
        <v>-1.9999999494757503E-3</v>
      </c>
      <c r="AD9" s="36" t="s">
        <v>42</v>
      </c>
      <c r="AE9" s="36" t="s">
        <v>43</v>
      </c>
      <c r="AF9" s="29">
        <f>0.839*2000</f>
        <v>1678</v>
      </c>
      <c r="AG9" s="518">
        <f>82587.29</f>
        <v>82587.289999999994</v>
      </c>
      <c r="AH9" s="518">
        <f>31765.95+4800+3004.69+12500</f>
        <v>52070.64</v>
      </c>
      <c r="AI9" s="671">
        <f>Z9-AF9-AF11-AG9-AH9</f>
        <v>138517.78800000006</v>
      </c>
      <c r="AJ9" s="675"/>
      <c r="AK9" s="252">
        <f>AG9/V9</f>
        <v>0.2357365972824578</v>
      </c>
      <c r="AL9" s="252">
        <f>AH9/Z9</f>
        <v>0.18578760620867357</v>
      </c>
    </row>
    <row r="10" spans="1:38" ht="24.95" customHeight="1" x14ac:dyDescent="0.2">
      <c r="A10" s="493"/>
      <c r="B10" s="495"/>
      <c r="C10" s="613"/>
      <c r="D10" s="521"/>
      <c r="E10" s="626"/>
      <c r="F10" s="411"/>
      <c r="G10" s="411"/>
      <c r="H10" s="410"/>
      <c r="I10" s="412"/>
      <c r="J10" s="412"/>
      <c r="K10" s="412"/>
      <c r="L10" s="558"/>
      <c r="M10" s="558"/>
      <c r="N10" s="558"/>
      <c r="O10" s="558"/>
      <c r="P10" s="558"/>
      <c r="Q10" s="558"/>
      <c r="R10" s="29">
        <f>O10</f>
        <v>0</v>
      </c>
      <c r="S10" s="29">
        <f>P10</f>
        <v>0</v>
      </c>
      <c r="T10" s="29">
        <f>Q9</f>
        <v>50000</v>
      </c>
      <c r="U10" s="29">
        <f>R10+S10+T10</f>
        <v>50000</v>
      </c>
      <c r="V10" s="556"/>
      <c r="W10" s="29">
        <f>R10+S10+T10</f>
        <v>50000</v>
      </c>
      <c r="X10" s="29">
        <f>W10</f>
        <v>50000</v>
      </c>
      <c r="Y10" s="518"/>
      <c r="Z10" s="662"/>
      <c r="AA10" s="29">
        <v>135151.72</v>
      </c>
      <c r="AB10" s="29">
        <f>AA10</f>
        <v>135151.72</v>
      </c>
      <c r="AC10" s="537"/>
      <c r="AD10" s="37"/>
      <c r="AE10" s="37"/>
      <c r="AF10" s="32"/>
      <c r="AG10" s="518"/>
      <c r="AH10" s="518"/>
      <c r="AI10" s="671"/>
      <c r="AJ10" s="675"/>
    </row>
    <row r="11" spans="1:38" ht="24.95" customHeight="1" x14ac:dyDescent="0.2">
      <c r="A11" s="493"/>
      <c r="B11" s="495"/>
      <c r="C11" s="613"/>
      <c r="D11" s="521" t="s">
        <v>333</v>
      </c>
      <c r="E11" s="626"/>
      <c r="F11" s="411"/>
      <c r="G11" s="411"/>
      <c r="H11" s="410"/>
      <c r="I11" s="412"/>
      <c r="J11" s="412"/>
      <c r="K11" s="412"/>
      <c r="L11" s="558"/>
      <c r="M11" s="558"/>
      <c r="N11" s="558"/>
      <c r="O11" s="559"/>
      <c r="P11" s="559"/>
      <c r="Q11" s="559"/>
      <c r="R11" s="29"/>
      <c r="S11" s="29"/>
      <c r="T11" s="32"/>
      <c r="U11" s="32"/>
      <c r="V11" s="556"/>
      <c r="W11" s="29"/>
      <c r="X11" s="29"/>
      <c r="Y11" s="518"/>
      <c r="Z11" s="662"/>
      <c r="AA11" s="29">
        <v>24000</v>
      </c>
      <c r="AB11" s="29">
        <v>24000</v>
      </c>
      <c r="AC11" s="537"/>
      <c r="AD11" s="36" t="s">
        <v>42</v>
      </c>
      <c r="AE11" s="36" t="s">
        <v>43</v>
      </c>
      <c r="AF11" s="29">
        <f>2.708*2000</f>
        <v>5416</v>
      </c>
      <c r="AG11" s="518"/>
      <c r="AH11" s="518"/>
      <c r="AI11" s="671"/>
      <c r="AJ11" s="675"/>
    </row>
    <row r="12" spans="1:38" ht="24.95" customHeight="1" x14ac:dyDescent="0.2">
      <c r="A12" s="493"/>
      <c r="B12" s="495"/>
      <c r="C12" s="614"/>
      <c r="D12" s="521"/>
      <c r="E12" s="626"/>
      <c r="F12" s="411"/>
      <c r="G12" s="411"/>
      <c r="H12" s="410"/>
      <c r="I12" s="412"/>
      <c r="J12" s="412"/>
      <c r="K12" s="412"/>
      <c r="L12" s="65"/>
      <c r="M12" s="65"/>
      <c r="N12" s="65"/>
      <c r="O12" s="65"/>
      <c r="P12" s="65"/>
      <c r="Q12" s="65"/>
      <c r="R12" s="29"/>
      <c r="S12" s="29"/>
      <c r="T12" s="67"/>
      <c r="U12" s="67"/>
      <c r="V12" s="556"/>
      <c r="W12" s="29"/>
      <c r="X12" s="29"/>
      <c r="Y12" s="518"/>
      <c r="Z12" s="662"/>
      <c r="AA12" s="29">
        <v>16000</v>
      </c>
      <c r="AB12" s="29">
        <f>AA12</f>
        <v>16000</v>
      </c>
      <c r="AC12" s="537"/>
      <c r="AD12" s="76"/>
      <c r="AE12" s="76"/>
      <c r="AF12" s="77"/>
      <c r="AG12" s="518"/>
      <c r="AH12" s="518"/>
      <c r="AI12" s="671"/>
      <c r="AJ12" s="675"/>
    </row>
    <row r="13" spans="1:38" ht="24.95" customHeight="1" x14ac:dyDescent="0.2">
      <c r="A13" s="493"/>
      <c r="B13" s="495"/>
      <c r="C13" s="295" t="s">
        <v>334</v>
      </c>
      <c r="D13" s="522"/>
      <c r="E13" s="626"/>
      <c r="F13" s="411"/>
      <c r="G13" s="411"/>
      <c r="H13" s="410"/>
      <c r="I13" s="412"/>
      <c r="J13" s="412"/>
      <c r="K13" s="412"/>
      <c r="L13" s="22">
        <v>85200</v>
      </c>
      <c r="M13" s="22">
        <v>16355.66</v>
      </c>
      <c r="N13" s="65"/>
      <c r="O13" s="66">
        <v>50946.6</v>
      </c>
      <c r="P13" s="66">
        <f>M13</f>
        <v>16355.66</v>
      </c>
      <c r="Q13" s="65"/>
      <c r="R13" s="29"/>
      <c r="S13" s="29"/>
      <c r="T13" s="29"/>
      <c r="U13" s="29"/>
      <c r="V13" s="555"/>
      <c r="W13" s="29"/>
      <c r="X13" s="29"/>
      <c r="Y13" s="518"/>
      <c r="Z13" s="660"/>
      <c r="AA13" s="29"/>
      <c r="AB13" s="29"/>
      <c r="AC13" s="538"/>
      <c r="AD13" s="75"/>
      <c r="AE13" s="75"/>
      <c r="AF13" s="67"/>
      <c r="AG13" s="518"/>
      <c r="AH13" s="518"/>
      <c r="AI13" s="671"/>
      <c r="AJ13" s="675"/>
    </row>
    <row r="14" spans="1:38" ht="24.95" customHeight="1" x14ac:dyDescent="0.2">
      <c r="A14" s="493">
        <v>6</v>
      </c>
      <c r="B14" s="495" t="s">
        <v>335</v>
      </c>
      <c r="C14" s="615" t="s">
        <v>102</v>
      </c>
      <c r="D14" s="495" t="s">
        <v>336</v>
      </c>
      <c r="E14" s="627" t="s">
        <v>337</v>
      </c>
      <c r="F14" s="411" t="s">
        <v>338</v>
      </c>
      <c r="G14" s="411" t="s">
        <v>47</v>
      </c>
      <c r="H14" s="410" t="s">
        <v>244</v>
      </c>
      <c r="I14" s="412" t="s">
        <v>339</v>
      </c>
      <c r="J14" s="412" t="s">
        <v>32</v>
      </c>
      <c r="K14" s="412" t="s">
        <v>33</v>
      </c>
      <c r="L14" s="560">
        <v>144356</v>
      </c>
      <c r="M14" s="560">
        <v>73000</v>
      </c>
      <c r="N14" s="645"/>
      <c r="O14" s="557">
        <f>L14</f>
        <v>144356</v>
      </c>
      <c r="P14" s="557">
        <f>M14</f>
        <v>73000</v>
      </c>
      <c r="Q14" s="578"/>
      <c r="R14" s="536">
        <f>O14</f>
        <v>144356</v>
      </c>
      <c r="S14" s="536">
        <f>P14</f>
        <v>73000</v>
      </c>
      <c r="T14" s="536">
        <f>Q14</f>
        <v>0</v>
      </c>
      <c r="U14" s="536">
        <f>R14+S14+T14</f>
        <v>217356</v>
      </c>
      <c r="V14" s="554">
        <f>U14</f>
        <v>217356</v>
      </c>
      <c r="W14" s="536">
        <f>V14</f>
        <v>217356</v>
      </c>
      <c r="X14" s="518">
        <f>W14</f>
        <v>217356</v>
      </c>
      <c r="Y14" s="518">
        <f>V14-X14</f>
        <v>0</v>
      </c>
      <c r="Z14" s="661">
        <f>V14*0.75-7300</f>
        <v>155717</v>
      </c>
      <c r="AA14" s="29">
        <v>60000</v>
      </c>
      <c r="AB14" s="29">
        <v>60000</v>
      </c>
      <c r="AC14" s="666">
        <f>Z14-AB14-AB15</f>
        <v>12.25</v>
      </c>
      <c r="AD14" s="36" t="s">
        <v>279</v>
      </c>
      <c r="AE14" s="36" t="s">
        <v>36</v>
      </c>
      <c r="AF14" s="29">
        <v>2000</v>
      </c>
      <c r="AG14" s="536">
        <f>U14*0.25</f>
        <v>54339</v>
      </c>
      <c r="AH14" s="536">
        <f>R14*0.75*0.2</f>
        <v>21653.4</v>
      </c>
      <c r="AI14" s="671">
        <f>Z14-AG14-AH14-AF14-AF15</f>
        <v>70424.600000000006</v>
      </c>
      <c r="AJ14" s="685" t="s">
        <v>340</v>
      </c>
      <c r="AK14" s="252">
        <f>AG14/V14</f>
        <v>0.25</v>
      </c>
      <c r="AL14" s="252">
        <f>AH14/R14/0.8</f>
        <v>0.18750000000000003</v>
      </c>
    </row>
    <row r="15" spans="1:38" ht="24.95" customHeight="1" x14ac:dyDescent="0.2">
      <c r="A15" s="493"/>
      <c r="B15" s="495"/>
      <c r="C15" s="615"/>
      <c r="D15" s="495"/>
      <c r="E15" s="628"/>
      <c r="F15" s="411"/>
      <c r="G15" s="411"/>
      <c r="H15" s="410"/>
      <c r="I15" s="412"/>
      <c r="J15" s="412"/>
      <c r="K15" s="412"/>
      <c r="L15" s="560"/>
      <c r="M15" s="560"/>
      <c r="N15" s="645"/>
      <c r="O15" s="559"/>
      <c r="P15" s="559"/>
      <c r="Q15" s="580"/>
      <c r="R15" s="538"/>
      <c r="S15" s="538"/>
      <c r="T15" s="538"/>
      <c r="U15" s="538"/>
      <c r="V15" s="555"/>
      <c r="W15" s="538"/>
      <c r="X15" s="518"/>
      <c r="Y15" s="518"/>
      <c r="Z15" s="660"/>
      <c r="AA15" s="29">
        <v>95704.75</v>
      </c>
      <c r="AB15" s="29">
        <f>AA15</f>
        <v>95704.75</v>
      </c>
      <c r="AC15" s="667"/>
      <c r="AD15" s="36" t="s">
        <v>341</v>
      </c>
      <c r="AE15" s="36" t="s">
        <v>342</v>
      </c>
      <c r="AF15" s="29">
        <f>7.3*1000</f>
        <v>7300</v>
      </c>
      <c r="AG15" s="538"/>
      <c r="AH15" s="538"/>
      <c r="AI15" s="671"/>
      <c r="AJ15" s="685"/>
    </row>
    <row r="16" spans="1:38" ht="24.95" customHeight="1" x14ac:dyDescent="0.2">
      <c r="A16" s="493">
        <v>8</v>
      </c>
      <c r="B16" s="495" t="s">
        <v>343</v>
      </c>
      <c r="C16" s="615" t="s">
        <v>102</v>
      </c>
      <c r="D16" s="495" t="s">
        <v>344</v>
      </c>
      <c r="E16" s="627" t="s">
        <v>345</v>
      </c>
      <c r="F16" s="411" t="s">
        <v>632</v>
      </c>
      <c r="G16" s="411" t="s">
        <v>47</v>
      </c>
      <c r="H16" s="410" t="s">
        <v>244</v>
      </c>
      <c r="I16" s="412" t="s">
        <v>339</v>
      </c>
      <c r="J16" s="412" t="s">
        <v>32</v>
      </c>
      <c r="K16" s="412" t="s">
        <v>33</v>
      </c>
      <c r="L16" s="518">
        <v>180939</v>
      </c>
      <c r="M16" s="518">
        <v>50250</v>
      </c>
      <c r="N16" s="646"/>
      <c r="O16" s="536">
        <f>L16</f>
        <v>180939</v>
      </c>
      <c r="P16" s="536">
        <f>M16</f>
        <v>50250</v>
      </c>
      <c r="Q16" s="570"/>
      <c r="R16" s="536">
        <f>O16</f>
        <v>180939</v>
      </c>
      <c r="S16" s="536">
        <f>P16</f>
        <v>50250</v>
      </c>
      <c r="T16" s="536">
        <f>Q16</f>
        <v>0</v>
      </c>
      <c r="U16" s="536">
        <f>R16+S16+T16</f>
        <v>231189</v>
      </c>
      <c r="V16" s="554">
        <f>U16</f>
        <v>231189</v>
      </c>
      <c r="W16" s="536">
        <f>V16</f>
        <v>231189</v>
      </c>
      <c r="X16" s="518">
        <f>W16</f>
        <v>231189</v>
      </c>
      <c r="Y16" s="518">
        <f>V16-X16</f>
        <v>0</v>
      </c>
      <c r="Z16" s="661">
        <f>V16*0.82</f>
        <v>189574.97999999998</v>
      </c>
      <c r="AA16" s="536">
        <v>189574.98</v>
      </c>
      <c r="AB16" s="518">
        <f>AA16</f>
        <v>189574.98</v>
      </c>
      <c r="AC16" s="518">
        <f>Z16-AB16</f>
        <v>0</v>
      </c>
      <c r="AD16" s="36" t="s">
        <v>279</v>
      </c>
      <c r="AE16" s="36" t="s">
        <v>36</v>
      </c>
      <c r="AF16" s="29">
        <f>7*200</f>
        <v>1400</v>
      </c>
      <c r="AG16" s="536">
        <f>U16*0.25</f>
        <v>57797.25</v>
      </c>
      <c r="AH16" s="536">
        <f>29674</f>
        <v>29674</v>
      </c>
      <c r="AI16" s="671">
        <f>Z16-AG16-AH16-AF16-AF17</f>
        <v>92328.729999999981</v>
      </c>
      <c r="AJ16" s="675" t="s">
        <v>346</v>
      </c>
      <c r="AK16" s="252">
        <f>AG16/V16</f>
        <v>0.25</v>
      </c>
      <c r="AL16" s="252">
        <f>AH16/R16/0.8</f>
        <v>0.20500002763362238</v>
      </c>
    </row>
    <row r="17" spans="1:38" ht="24.95" customHeight="1" x14ac:dyDescent="0.2">
      <c r="A17" s="493"/>
      <c r="B17" s="495"/>
      <c r="C17" s="615"/>
      <c r="D17" s="495"/>
      <c r="E17" s="628"/>
      <c r="F17" s="411"/>
      <c r="G17" s="411"/>
      <c r="H17" s="410"/>
      <c r="I17" s="412"/>
      <c r="J17" s="412"/>
      <c r="K17" s="412"/>
      <c r="L17" s="518"/>
      <c r="M17" s="518"/>
      <c r="N17" s="646"/>
      <c r="O17" s="538"/>
      <c r="P17" s="538"/>
      <c r="Q17" s="572"/>
      <c r="R17" s="538"/>
      <c r="S17" s="538"/>
      <c r="T17" s="538"/>
      <c r="U17" s="538"/>
      <c r="V17" s="555"/>
      <c r="W17" s="538"/>
      <c r="X17" s="518"/>
      <c r="Y17" s="518"/>
      <c r="Z17" s="660"/>
      <c r="AA17" s="538"/>
      <c r="AB17" s="518"/>
      <c r="AC17" s="518"/>
      <c r="AD17" s="36" t="s">
        <v>279</v>
      </c>
      <c r="AE17" s="36" t="s">
        <v>43</v>
      </c>
      <c r="AF17" s="29">
        <f>3.35*2500</f>
        <v>8375</v>
      </c>
      <c r="AG17" s="538"/>
      <c r="AH17" s="538"/>
      <c r="AI17" s="671"/>
      <c r="AJ17" s="675"/>
    </row>
    <row r="18" spans="1:38" ht="24.95" customHeight="1" x14ac:dyDescent="0.2">
      <c r="A18" s="493">
        <v>12</v>
      </c>
      <c r="B18" s="495" t="s">
        <v>631</v>
      </c>
      <c r="C18" s="615"/>
      <c r="D18" s="294" t="s">
        <v>347</v>
      </c>
      <c r="E18" s="621"/>
      <c r="F18" s="363" t="s">
        <v>633</v>
      </c>
      <c r="G18" s="411"/>
      <c r="H18" s="410"/>
      <c r="I18" s="412"/>
      <c r="J18" s="412"/>
      <c r="K18" s="412"/>
      <c r="L18" s="22">
        <f>30496</f>
        <v>30496</v>
      </c>
      <c r="M18" s="576"/>
      <c r="N18" s="576"/>
      <c r="O18" s="557">
        <v>27814</v>
      </c>
      <c r="P18" s="576"/>
      <c r="Q18" s="576"/>
      <c r="R18" s="536">
        <f>O18</f>
        <v>27814</v>
      </c>
      <c r="S18" s="536"/>
      <c r="T18" s="570"/>
      <c r="U18" s="536">
        <f>R18+S18+T18</f>
        <v>27814</v>
      </c>
      <c r="V18" s="556">
        <f>U18</f>
        <v>27814</v>
      </c>
      <c r="W18" s="536">
        <f>V18</f>
        <v>27814</v>
      </c>
      <c r="X18" s="536">
        <f>W18</f>
        <v>27814</v>
      </c>
      <c r="Y18" s="518">
        <f>V18-X18</f>
        <v>0</v>
      </c>
      <c r="Z18" s="662">
        <f>V18*0.8</f>
        <v>22251.200000000001</v>
      </c>
      <c r="AA18" s="536">
        <f>W18*0.8</f>
        <v>22251.200000000001</v>
      </c>
      <c r="AB18" s="536">
        <f>X18*0.8</f>
        <v>22251.200000000001</v>
      </c>
      <c r="AC18" s="537">
        <f>Z18-AB18</f>
        <v>0</v>
      </c>
      <c r="AD18" s="75"/>
      <c r="AE18" s="75"/>
      <c r="AF18" s="67"/>
      <c r="AG18" s="518">
        <f>6953.5</f>
        <v>6953.5</v>
      </c>
      <c r="AH18" s="518">
        <f>4450.24</f>
        <v>4450.24</v>
      </c>
      <c r="AI18" s="671">
        <f>Z18-AG18-AH18-AF18-AF19</f>
        <v>10847.460000000001</v>
      </c>
      <c r="AJ18" s="523"/>
      <c r="AK18" s="252">
        <f>AG18/V18</f>
        <v>0.25</v>
      </c>
      <c r="AL18" s="252">
        <f>AH18/R18/0.8</f>
        <v>0.19999999999999998</v>
      </c>
    </row>
    <row r="19" spans="1:38" ht="24.95" customHeight="1" x14ac:dyDescent="0.2">
      <c r="A19" s="493"/>
      <c r="B19" s="495"/>
      <c r="C19" s="615"/>
      <c r="D19" s="294" t="s">
        <v>348</v>
      </c>
      <c r="E19" s="463"/>
      <c r="F19" s="364"/>
      <c r="G19" s="411"/>
      <c r="H19" s="410"/>
      <c r="I19" s="412"/>
      <c r="J19" s="412"/>
      <c r="K19" s="412"/>
      <c r="L19" s="22">
        <v>7747</v>
      </c>
      <c r="M19" s="577"/>
      <c r="N19" s="577"/>
      <c r="O19" s="559"/>
      <c r="P19" s="577"/>
      <c r="Q19" s="577"/>
      <c r="R19" s="538"/>
      <c r="S19" s="538"/>
      <c r="T19" s="572"/>
      <c r="U19" s="538"/>
      <c r="V19" s="555"/>
      <c r="W19" s="538"/>
      <c r="X19" s="538"/>
      <c r="Y19" s="518"/>
      <c r="Z19" s="660"/>
      <c r="AA19" s="538"/>
      <c r="AB19" s="538"/>
      <c r="AC19" s="538"/>
      <c r="AD19" s="75"/>
      <c r="AE19" s="75"/>
      <c r="AF19" s="67"/>
      <c r="AG19" s="518"/>
      <c r="AH19" s="518"/>
      <c r="AI19" s="671"/>
      <c r="AJ19" s="523"/>
    </row>
    <row r="20" spans="1:38" ht="24.95" customHeight="1" x14ac:dyDescent="0.2">
      <c r="A20" s="10">
        <v>13</v>
      </c>
      <c r="B20" s="294" t="s">
        <v>349</v>
      </c>
      <c r="C20" s="295" t="s">
        <v>350</v>
      </c>
      <c r="D20" s="294" t="s">
        <v>351</v>
      </c>
      <c r="E20" s="11" t="s">
        <v>222</v>
      </c>
      <c r="F20" s="12" t="s">
        <v>352</v>
      </c>
      <c r="G20" s="12" t="s">
        <v>202</v>
      </c>
      <c r="H20" s="11" t="s">
        <v>48</v>
      </c>
      <c r="I20" s="19" t="s">
        <v>49</v>
      </c>
      <c r="J20" s="19" t="s">
        <v>32</v>
      </c>
      <c r="K20" s="19" t="s">
        <v>32</v>
      </c>
      <c r="L20" s="29">
        <v>174890</v>
      </c>
      <c r="M20" s="67"/>
      <c r="N20" s="67"/>
      <c r="O20" s="29">
        <v>74692.23</v>
      </c>
      <c r="P20" s="67"/>
      <c r="Q20" s="67"/>
      <c r="R20" s="29">
        <f>O20</f>
        <v>74692.23</v>
      </c>
      <c r="S20" s="29"/>
      <c r="T20" s="67"/>
      <c r="U20" s="29">
        <f>R20+S20+T20</f>
        <v>74692.23</v>
      </c>
      <c r="V20" s="168">
        <f>U20</f>
        <v>74692.23</v>
      </c>
      <c r="W20" s="29">
        <f>V20</f>
        <v>74692.23</v>
      </c>
      <c r="X20" s="29">
        <f>W20</f>
        <v>74692.23</v>
      </c>
      <c r="Y20" s="29">
        <f>V20-X20</f>
        <v>0</v>
      </c>
      <c r="Z20" s="150">
        <f>V20*0.8</f>
        <v>59753.784</v>
      </c>
      <c r="AA20" s="29">
        <v>59753.78</v>
      </c>
      <c r="AB20" s="29">
        <f>Z20</f>
        <v>59753.784</v>
      </c>
      <c r="AC20" s="29">
        <f>Z20-AB20</f>
        <v>0</v>
      </c>
      <c r="AD20" s="75"/>
      <c r="AE20" s="75"/>
      <c r="AF20" s="67"/>
      <c r="AG20" s="29">
        <f>11922.7</f>
        <v>11922.7</v>
      </c>
      <c r="AH20" s="29">
        <f>11221.37</f>
        <v>11221.37</v>
      </c>
      <c r="AI20" s="151">
        <f>Z20-AF20-AG20-AH20</f>
        <v>36609.714</v>
      </c>
      <c r="AJ20" s="78"/>
      <c r="AK20" s="252">
        <f>AG20/V20</f>
        <v>0.15962436788940432</v>
      </c>
      <c r="AL20" s="252">
        <f>AH20/R20/0.8</f>
        <v>0.18779346258640292</v>
      </c>
    </row>
    <row r="21" spans="1:38" ht="24.95" customHeight="1" x14ac:dyDescent="0.2">
      <c r="A21" s="533">
        <v>14</v>
      </c>
      <c r="B21" s="520" t="s">
        <v>353</v>
      </c>
      <c r="C21" s="612" t="s">
        <v>354</v>
      </c>
      <c r="D21" s="520" t="s">
        <v>355</v>
      </c>
      <c r="E21" s="620" t="s">
        <v>222</v>
      </c>
      <c r="F21" s="362" t="s">
        <v>356</v>
      </c>
      <c r="G21" s="362" t="s">
        <v>357</v>
      </c>
      <c r="H21" s="362" t="s">
        <v>907</v>
      </c>
      <c r="I21" s="633" t="s">
        <v>908</v>
      </c>
      <c r="J21" s="633" t="s">
        <v>33</v>
      </c>
      <c r="K21" s="633" t="s">
        <v>33</v>
      </c>
      <c r="L21" s="536">
        <v>2379151</v>
      </c>
      <c r="M21" s="570"/>
      <c r="N21" s="570"/>
      <c r="O21" s="536"/>
      <c r="P21" s="570"/>
      <c r="Q21" s="570"/>
      <c r="R21" s="649">
        <v>1673310</v>
      </c>
      <c r="S21" s="536"/>
      <c r="T21" s="570"/>
      <c r="U21" s="536">
        <f>R21</f>
        <v>1673310</v>
      </c>
      <c r="V21" s="554">
        <f>U21</f>
        <v>1673310</v>
      </c>
      <c r="W21" s="29">
        <v>200000</v>
      </c>
      <c r="X21" s="29">
        <f>W21</f>
        <v>200000</v>
      </c>
      <c r="Y21" s="536">
        <f>V21-X21-X24-X22-X23</f>
        <v>1323310</v>
      </c>
      <c r="Z21" s="661">
        <f>V21*0.8</f>
        <v>1338648</v>
      </c>
      <c r="AA21" s="29">
        <f>X21*0.8</f>
        <v>160000</v>
      </c>
      <c r="AB21" s="29">
        <f>AA21</f>
        <v>160000</v>
      </c>
      <c r="AC21" s="536">
        <f>Z21-AB21-AB24-AB22-AB23</f>
        <v>1058648</v>
      </c>
      <c r="AD21" s="36" t="s">
        <v>359</v>
      </c>
      <c r="AE21" s="36" t="s">
        <v>360</v>
      </c>
      <c r="AF21" s="29">
        <f>5*160</f>
        <v>800</v>
      </c>
      <c r="AG21" s="536"/>
      <c r="AH21" s="536"/>
      <c r="AI21" s="672">
        <f>Z21-AF21-AF22-AF23-AG21-AH21-AF24</f>
        <v>1337848</v>
      </c>
      <c r="AJ21" s="675"/>
      <c r="AK21" s="252">
        <f>AG21/V21</f>
        <v>0</v>
      </c>
      <c r="AL21" s="252">
        <f>AH21/R21/0.8</f>
        <v>0</v>
      </c>
    </row>
    <row r="22" spans="1:38" ht="24.95" customHeight="1" x14ac:dyDescent="0.2">
      <c r="A22" s="534"/>
      <c r="B22" s="521"/>
      <c r="C22" s="613"/>
      <c r="D22" s="521"/>
      <c r="E22" s="621"/>
      <c r="F22" s="363"/>
      <c r="G22" s="363"/>
      <c r="H22" s="363"/>
      <c r="I22" s="634"/>
      <c r="J22" s="634"/>
      <c r="K22" s="634"/>
      <c r="L22" s="537"/>
      <c r="M22" s="571"/>
      <c r="N22" s="571"/>
      <c r="O22" s="537"/>
      <c r="P22" s="571"/>
      <c r="Q22" s="571"/>
      <c r="R22" s="650"/>
      <c r="S22" s="537"/>
      <c r="T22" s="571"/>
      <c r="U22" s="537"/>
      <c r="V22" s="556"/>
      <c r="W22" s="29">
        <v>150000</v>
      </c>
      <c r="X22" s="29">
        <v>150000</v>
      </c>
      <c r="Y22" s="537"/>
      <c r="Z22" s="662"/>
      <c r="AA22" s="29">
        <v>120000</v>
      </c>
      <c r="AB22" s="29">
        <v>120000</v>
      </c>
      <c r="AC22" s="537"/>
      <c r="AD22" s="36"/>
      <c r="AE22" s="36"/>
      <c r="AF22" s="29"/>
      <c r="AG22" s="537"/>
      <c r="AH22" s="537"/>
      <c r="AI22" s="673"/>
      <c r="AJ22" s="675"/>
    </row>
    <row r="23" spans="1:38" ht="24.95" customHeight="1" x14ac:dyDescent="0.2">
      <c r="A23" s="534"/>
      <c r="B23" s="521"/>
      <c r="C23" s="613"/>
      <c r="D23" s="521"/>
      <c r="E23" s="621"/>
      <c r="F23" s="363"/>
      <c r="G23" s="363"/>
      <c r="H23" s="363"/>
      <c r="I23" s="634"/>
      <c r="J23" s="634"/>
      <c r="K23" s="634"/>
      <c r="L23" s="537"/>
      <c r="M23" s="571"/>
      <c r="N23" s="571"/>
      <c r="O23" s="537"/>
      <c r="P23" s="571"/>
      <c r="Q23" s="571"/>
      <c r="R23" s="650"/>
      <c r="S23" s="537"/>
      <c r="T23" s="571"/>
      <c r="U23" s="537"/>
      <c r="V23" s="556"/>
      <c r="W23" s="29"/>
      <c r="X23" s="29"/>
      <c r="Y23" s="537"/>
      <c r="Z23" s="662"/>
      <c r="AA23" s="29"/>
      <c r="AB23" s="29"/>
      <c r="AC23" s="537"/>
      <c r="AD23" s="36"/>
      <c r="AE23" s="36"/>
      <c r="AF23" s="29"/>
      <c r="AG23" s="537"/>
      <c r="AH23" s="537"/>
      <c r="AI23" s="673"/>
      <c r="AJ23" s="675"/>
    </row>
    <row r="24" spans="1:38" ht="24.95" customHeight="1" x14ac:dyDescent="0.2">
      <c r="A24" s="534"/>
      <c r="B24" s="521"/>
      <c r="C24" s="613"/>
      <c r="D24" s="521"/>
      <c r="E24" s="621"/>
      <c r="F24" s="363"/>
      <c r="G24" s="363"/>
      <c r="H24" s="363"/>
      <c r="I24" s="634"/>
      <c r="J24" s="634"/>
      <c r="K24" s="634"/>
      <c r="L24" s="537"/>
      <c r="M24" s="571"/>
      <c r="N24" s="571"/>
      <c r="O24" s="537"/>
      <c r="P24" s="571"/>
      <c r="Q24" s="571"/>
      <c r="R24" s="650"/>
      <c r="S24" s="537"/>
      <c r="T24" s="571"/>
      <c r="U24" s="537"/>
      <c r="V24" s="556"/>
      <c r="W24" s="29"/>
      <c r="X24" s="29"/>
      <c r="Y24" s="537"/>
      <c r="Z24" s="662"/>
      <c r="AA24" s="29"/>
      <c r="AB24" s="29"/>
      <c r="AC24" s="537"/>
      <c r="AD24" s="36"/>
      <c r="AE24" s="36"/>
      <c r="AF24" s="29"/>
      <c r="AG24" s="538"/>
      <c r="AH24" s="538"/>
      <c r="AI24" s="674"/>
      <c r="AJ24" s="675"/>
    </row>
    <row r="25" spans="1:38" ht="24.95" customHeight="1" x14ac:dyDescent="0.2">
      <c r="A25" s="493">
        <v>15</v>
      </c>
      <c r="B25" s="520" t="s">
        <v>600</v>
      </c>
      <c r="C25" s="615" t="s">
        <v>361</v>
      </c>
      <c r="D25" s="294" t="s">
        <v>362</v>
      </c>
      <c r="E25" s="620" t="s">
        <v>222</v>
      </c>
      <c r="F25" s="12" t="s">
        <v>363</v>
      </c>
      <c r="G25" s="411" t="s">
        <v>132</v>
      </c>
      <c r="H25" s="410" t="s">
        <v>285</v>
      </c>
      <c r="I25" s="410">
        <v>15801247391</v>
      </c>
      <c r="J25" s="410" t="s">
        <v>33</v>
      </c>
      <c r="K25" s="410" t="s">
        <v>33</v>
      </c>
      <c r="L25" s="22">
        <v>435386.1</v>
      </c>
      <c r="M25" s="22">
        <v>46849</v>
      </c>
      <c r="N25" s="65"/>
      <c r="O25" s="22">
        <v>127692.05</v>
      </c>
      <c r="P25" s="68">
        <v>72490.25</v>
      </c>
      <c r="Q25" s="65"/>
      <c r="R25" s="29">
        <f t="shared" ref="R25:S30" si="0">O25</f>
        <v>127692.05</v>
      </c>
      <c r="S25" s="29">
        <f t="shared" si="0"/>
        <v>72490.25</v>
      </c>
      <c r="T25" s="32"/>
      <c r="U25" s="29">
        <f>R25+S25+T25</f>
        <v>200182.3</v>
      </c>
      <c r="V25" s="554">
        <f>U25+U26+U27+U28</f>
        <v>408368.95999999996</v>
      </c>
      <c r="W25" s="29">
        <v>198059</v>
      </c>
      <c r="X25" s="29">
        <f>W25</f>
        <v>198059</v>
      </c>
      <c r="Y25" s="536">
        <f>V25+V26+V27+V28-X25-X26-X27</f>
        <v>81674.959999999963</v>
      </c>
      <c r="Z25" s="661">
        <f>(V25+V26+V27+V28)*0.8</f>
        <v>326695.16800000001</v>
      </c>
      <c r="AA25" s="29">
        <f>W25*0.8</f>
        <v>158447.20000000001</v>
      </c>
      <c r="AB25" s="29">
        <f>X25*0.8</f>
        <v>158447.20000000001</v>
      </c>
      <c r="AC25" s="536">
        <f>Z25-AB25-AB26</f>
        <v>65339.967999999993</v>
      </c>
      <c r="AD25" s="36" t="s">
        <v>324</v>
      </c>
      <c r="AE25" s="36" t="s">
        <v>286</v>
      </c>
      <c r="AF25" s="29">
        <f>2.97*1500+4*150</f>
        <v>5055</v>
      </c>
      <c r="AG25" s="536"/>
      <c r="AH25" s="536"/>
      <c r="AI25" s="672">
        <f>Z25-AF25-AG25-AH25-AF26-AF27-AF28</f>
        <v>319000.16800000001</v>
      </c>
      <c r="AJ25" s="686" t="s">
        <v>364</v>
      </c>
      <c r="AK25" s="252">
        <f>AG25/V25</f>
        <v>0</v>
      </c>
      <c r="AL25" s="252">
        <f>AH25/R25/0.8</f>
        <v>0</v>
      </c>
    </row>
    <row r="26" spans="1:38" ht="24.95" customHeight="1" x14ac:dyDescent="0.2">
      <c r="A26" s="493"/>
      <c r="B26" s="521"/>
      <c r="C26" s="615"/>
      <c r="D26" s="294" t="s">
        <v>365</v>
      </c>
      <c r="E26" s="621"/>
      <c r="F26" s="12" t="s">
        <v>366</v>
      </c>
      <c r="G26" s="411"/>
      <c r="H26" s="410"/>
      <c r="I26" s="410"/>
      <c r="J26" s="410"/>
      <c r="K26" s="410"/>
      <c r="L26" s="22">
        <v>199589.22</v>
      </c>
      <c r="M26" s="22">
        <v>15265.51</v>
      </c>
      <c r="N26" s="65"/>
      <c r="O26" s="22">
        <v>80467.149999999994</v>
      </c>
      <c r="P26" s="68">
        <v>42466.92</v>
      </c>
      <c r="Q26" s="65"/>
      <c r="R26" s="29">
        <f t="shared" si="0"/>
        <v>80467.149999999994</v>
      </c>
      <c r="S26" s="29">
        <f t="shared" si="0"/>
        <v>42466.92</v>
      </c>
      <c r="T26" s="32"/>
      <c r="U26" s="29">
        <f t="shared" ref="U26:U30" si="1">R26+S26+T26</f>
        <v>122934.06999999999</v>
      </c>
      <c r="V26" s="556"/>
      <c r="W26" s="29">
        <v>128635</v>
      </c>
      <c r="X26" s="29">
        <f>W26</f>
        <v>128635</v>
      </c>
      <c r="Y26" s="537"/>
      <c r="Z26" s="662"/>
      <c r="AA26" s="29">
        <f>W26*0.8</f>
        <v>102908</v>
      </c>
      <c r="AB26" s="29">
        <f>X26*0.8</f>
        <v>102908</v>
      </c>
      <c r="AC26" s="537"/>
      <c r="AD26" s="36" t="s">
        <v>324</v>
      </c>
      <c r="AE26" s="36" t="s">
        <v>286</v>
      </c>
      <c r="AF26" s="29">
        <v>0</v>
      </c>
      <c r="AG26" s="537"/>
      <c r="AH26" s="537"/>
      <c r="AI26" s="673"/>
      <c r="AJ26" s="686"/>
      <c r="AK26" s="257" t="e">
        <f>AG26/V26</f>
        <v>#DIV/0!</v>
      </c>
      <c r="AL26" s="252">
        <f>AH26/R26/0.8</f>
        <v>0</v>
      </c>
    </row>
    <row r="27" spans="1:38" ht="24.95" customHeight="1" x14ac:dyDescent="0.2">
      <c r="A27" s="493"/>
      <c r="B27" s="521"/>
      <c r="C27" s="615"/>
      <c r="D27" s="294" t="s">
        <v>367</v>
      </c>
      <c r="E27" s="621"/>
      <c r="F27" s="12" t="s">
        <v>368</v>
      </c>
      <c r="G27" s="411"/>
      <c r="H27" s="410"/>
      <c r="I27" s="410"/>
      <c r="J27" s="410"/>
      <c r="K27" s="410"/>
      <c r="L27" s="22">
        <v>128666.11</v>
      </c>
      <c r="M27" s="22">
        <v>21482</v>
      </c>
      <c r="N27" s="65"/>
      <c r="O27" s="22">
        <v>35765.68</v>
      </c>
      <c r="P27" s="68">
        <v>21482</v>
      </c>
      <c r="Q27" s="65"/>
      <c r="R27" s="29">
        <f t="shared" si="0"/>
        <v>35765.68</v>
      </c>
      <c r="S27" s="29">
        <f t="shared" si="0"/>
        <v>21482</v>
      </c>
      <c r="T27" s="32"/>
      <c r="U27" s="29">
        <f t="shared" si="1"/>
        <v>57247.68</v>
      </c>
      <c r="V27" s="556"/>
      <c r="W27" s="29"/>
      <c r="X27" s="29"/>
      <c r="Y27" s="537"/>
      <c r="Z27" s="662"/>
      <c r="AA27" s="29"/>
      <c r="AB27" s="29"/>
      <c r="AC27" s="537"/>
      <c r="AD27" s="36" t="s">
        <v>324</v>
      </c>
      <c r="AE27" s="36" t="s">
        <v>286</v>
      </c>
      <c r="AF27" s="29">
        <f>0.814*1500+3*150</f>
        <v>1671</v>
      </c>
      <c r="AG27" s="537"/>
      <c r="AH27" s="537"/>
      <c r="AI27" s="673"/>
      <c r="AJ27" s="686"/>
      <c r="AK27" s="252" t="e">
        <f>AG27/V27</f>
        <v>#DIV/0!</v>
      </c>
      <c r="AL27" s="252">
        <f>AH27/R27/0.8</f>
        <v>0</v>
      </c>
    </row>
    <row r="28" spans="1:38" ht="24.95" customHeight="1" x14ac:dyDescent="0.2">
      <c r="A28" s="493"/>
      <c r="B28" s="522"/>
      <c r="C28" s="615"/>
      <c r="D28" s="294" t="s">
        <v>370</v>
      </c>
      <c r="E28" s="621"/>
      <c r="F28" s="12" t="s">
        <v>371</v>
      </c>
      <c r="G28" s="411"/>
      <c r="H28" s="410"/>
      <c r="I28" s="410"/>
      <c r="J28" s="410"/>
      <c r="K28" s="410"/>
      <c r="L28" s="22">
        <v>70487.199999999997</v>
      </c>
      <c r="M28" s="22">
        <v>14482</v>
      </c>
      <c r="N28" s="65"/>
      <c r="O28" s="22">
        <v>18594.740000000002</v>
      </c>
      <c r="P28" s="68">
        <v>9410.17</v>
      </c>
      <c r="Q28" s="65"/>
      <c r="R28" s="29">
        <f t="shared" si="0"/>
        <v>18594.740000000002</v>
      </c>
      <c r="S28" s="29">
        <f t="shared" si="0"/>
        <v>9410.17</v>
      </c>
      <c r="T28" s="32"/>
      <c r="U28" s="29">
        <f t="shared" ref="U28" si="2">R28+S28+T28</f>
        <v>28004.910000000003</v>
      </c>
      <c r="V28" s="555"/>
      <c r="W28" s="29"/>
      <c r="X28" s="29"/>
      <c r="Y28" s="538"/>
      <c r="Z28" s="660"/>
      <c r="AA28" s="29"/>
      <c r="AB28" s="29"/>
      <c r="AC28" s="538"/>
      <c r="AD28" s="36" t="s">
        <v>324</v>
      </c>
      <c r="AE28" s="36" t="s">
        <v>286</v>
      </c>
      <c r="AF28" s="29">
        <f>0.446*1500+2*150</f>
        <v>969</v>
      </c>
      <c r="AG28" s="538"/>
      <c r="AH28" s="538"/>
      <c r="AI28" s="674"/>
      <c r="AJ28" s="686"/>
      <c r="AK28" s="252" t="e">
        <f>AG28/V28</f>
        <v>#DIV/0!</v>
      </c>
      <c r="AL28" s="252">
        <f>AH28/R28/0.8</f>
        <v>0</v>
      </c>
    </row>
    <row r="29" spans="1:38" ht="24.95" customHeight="1" x14ac:dyDescent="0.2">
      <c r="A29" s="493"/>
      <c r="B29" s="520" t="s">
        <v>718</v>
      </c>
      <c r="C29" s="615"/>
      <c r="D29" s="294" t="s">
        <v>580</v>
      </c>
      <c r="E29" s="621"/>
      <c r="F29" s="12" t="s">
        <v>369</v>
      </c>
      <c r="G29" s="411"/>
      <c r="H29" s="410"/>
      <c r="I29" s="410"/>
      <c r="J29" s="410"/>
      <c r="K29" s="410"/>
      <c r="L29" s="22">
        <v>92174.37</v>
      </c>
      <c r="M29" s="22">
        <v>14475</v>
      </c>
      <c r="N29" s="65"/>
      <c r="O29" s="22">
        <v>22497.21</v>
      </c>
      <c r="P29" s="68">
        <v>14475</v>
      </c>
      <c r="Q29" s="65"/>
      <c r="R29" s="29">
        <f t="shared" si="0"/>
        <v>22497.21</v>
      </c>
      <c r="S29" s="29">
        <f t="shared" si="0"/>
        <v>14475</v>
      </c>
      <c r="T29" s="32"/>
      <c r="U29" s="29">
        <f t="shared" si="1"/>
        <v>36972.21</v>
      </c>
      <c r="V29" s="554">
        <f>U29+U30</f>
        <v>128712.94</v>
      </c>
      <c r="W29" s="29"/>
      <c r="X29" s="29"/>
      <c r="Y29" s="536">
        <f>V29-X29-X30</f>
        <v>128712.94</v>
      </c>
      <c r="Z29" s="661">
        <f>V29*0.8</f>
        <v>102970.35200000001</v>
      </c>
      <c r="AA29" s="29"/>
      <c r="AB29" s="29"/>
      <c r="AC29" s="67"/>
      <c r="AD29" s="75"/>
      <c r="AE29" s="75"/>
      <c r="AF29" s="67"/>
      <c r="AG29" s="32"/>
      <c r="AH29" s="32"/>
      <c r="AI29" s="175"/>
      <c r="AJ29" s="686"/>
    </row>
    <row r="30" spans="1:38" ht="24.95" customHeight="1" x14ac:dyDescent="0.2">
      <c r="A30" s="493"/>
      <c r="B30" s="521"/>
      <c r="C30" s="615"/>
      <c r="D30" s="294" t="s">
        <v>581</v>
      </c>
      <c r="E30" s="621"/>
      <c r="F30" s="12" t="s">
        <v>372</v>
      </c>
      <c r="G30" s="411"/>
      <c r="H30" s="410"/>
      <c r="I30" s="410"/>
      <c r="J30" s="410"/>
      <c r="K30" s="410"/>
      <c r="L30" s="22">
        <v>201261.75</v>
      </c>
      <c r="M30" s="22">
        <v>22698</v>
      </c>
      <c r="N30" s="65"/>
      <c r="O30" s="22">
        <v>69042.73</v>
      </c>
      <c r="P30" s="68">
        <v>22698</v>
      </c>
      <c r="Q30" s="65"/>
      <c r="R30" s="29">
        <f t="shared" si="0"/>
        <v>69042.73</v>
      </c>
      <c r="S30" s="29">
        <f t="shared" si="0"/>
        <v>22698</v>
      </c>
      <c r="T30" s="32"/>
      <c r="U30" s="29">
        <f t="shared" si="1"/>
        <v>91740.73</v>
      </c>
      <c r="V30" s="555"/>
      <c r="W30" s="29"/>
      <c r="X30" s="29"/>
      <c r="Y30" s="538"/>
      <c r="Z30" s="660"/>
      <c r="AA30" s="29"/>
      <c r="AB30" s="29"/>
      <c r="AC30" s="67"/>
      <c r="AD30" s="75"/>
      <c r="AE30" s="75"/>
      <c r="AF30" s="67"/>
      <c r="AG30" s="67"/>
      <c r="AH30" s="67"/>
      <c r="AI30" s="176"/>
      <c r="AJ30" s="686"/>
    </row>
    <row r="31" spans="1:38" ht="24.95" customHeight="1" x14ac:dyDescent="0.2">
      <c r="A31" s="493">
        <v>16</v>
      </c>
      <c r="B31" s="495" t="s">
        <v>628</v>
      </c>
      <c r="C31" s="615" t="s">
        <v>373</v>
      </c>
      <c r="D31" s="495" t="s">
        <v>374</v>
      </c>
      <c r="E31" s="627" t="s">
        <v>330</v>
      </c>
      <c r="F31" s="411" t="s">
        <v>375</v>
      </c>
      <c r="G31" s="411" t="s">
        <v>376</v>
      </c>
      <c r="H31" s="410" t="s">
        <v>310</v>
      </c>
      <c r="I31" s="412" t="s">
        <v>311</v>
      </c>
      <c r="J31" s="412" t="s">
        <v>32</v>
      </c>
      <c r="K31" s="412" t="s">
        <v>32</v>
      </c>
      <c r="L31" s="518">
        <f>28180+171915</f>
        <v>200095</v>
      </c>
      <c r="M31" s="646"/>
      <c r="N31" s="646"/>
      <c r="O31" s="536">
        <v>370681.47</v>
      </c>
      <c r="P31" s="574"/>
      <c r="Q31" s="574"/>
      <c r="R31" s="536">
        <f>O31</f>
        <v>370681.47</v>
      </c>
      <c r="S31" s="536"/>
      <c r="T31" s="570"/>
      <c r="U31" s="536">
        <f>R31+T31+S31</f>
        <v>370681.47</v>
      </c>
      <c r="V31" s="554">
        <f>U31</f>
        <v>370681.47</v>
      </c>
      <c r="W31" s="29">
        <v>146035</v>
      </c>
      <c r="X31" s="29">
        <v>146035</v>
      </c>
      <c r="Y31" s="536">
        <f>V31-X31-X32</f>
        <v>0</v>
      </c>
      <c r="Z31" s="661">
        <f>V31*0.8</f>
        <v>296545.17599999998</v>
      </c>
      <c r="AA31" s="29">
        <v>73000</v>
      </c>
      <c r="AB31" s="29">
        <v>73000</v>
      </c>
      <c r="AC31" s="518">
        <f>Z31-AB31-AB32</f>
        <v>223545.17599999998</v>
      </c>
      <c r="AD31" s="75"/>
      <c r="AE31" s="75"/>
      <c r="AF31" s="67"/>
      <c r="AG31" s="518">
        <f>18250</f>
        <v>18250</v>
      </c>
      <c r="AH31" s="518">
        <f>14600</f>
        <v>14600</v>
      </c>
      <c r="AI31" s="671">
        <f>Z31-AG31-AH31-AF31-AF32</f>
        <v>263695.17599999998</v>
      </c>
      <c r="AJ31" s="675" t="s">
        <v>377</v>
      </c>
      <c r="AK31" s="252">
        <f>AG31/V31</f>
        <v>4.9233645264221061E-2</v>
      </c>
      <c r="AL31" s="252">
        <f>AH31/R31/0.8</f>
        <v>4.9233645264221054E-2</v>
      </c>
    </row>
    <row r="32" spans="1:38" ht="24.95" customHeight="1" x14ac:dyDescent="0.2">
      <c r="A32" s="493"/>
      <c r="B32" s="495"/>
      <c r="C32" s="615"/>
      <c r="D32" s="495"/>
      <c r="E32" s="628"/>
      <c r="F32" s="411"/>
      <c r="G32" s="411"/>
      <c r="H32" s="410"/>
      <c r="I32" s="412"/>
      <c r="J32" s="412"/>
      <c r="K32" s="412"/>
      <c r="L32" s="518"/>
      <c r="M32" s="646"/>
      <c r="N32" s="646"/>
      <c r="O32" s="538"/>
      <c r="P32" s="575"/>
      <c r="Q32" s="575"/>
      <c r="R32" s="538"/>
      <c r="S32" s="538"/>
      <c r="T32" s="572"/>
      <c r="U32" s="538"/>
      <c r="V32" s="555"/>
      <c r="W32" s="29">
        <f>V31-W31</f>
        <v>224646.46999999997</v>
      </c>
      <c r="X32" s="29">
        <f>W32</f>
        <v>224646.46999999997</v>
      </c>
      <c r="Y32" s="538"/>
      <c r="Z32" s="660"/>
      <c r="AA32" s="29"/>
      <c r="AB32" s="29"/>
      <c r="AC32" s="518"/>
      <c r="AD32" s="75"/>
      <c r="AE32" s="75"/>
      <c r="AF32" s="67"/>
      <c r="AG32" s="518"/>
      <c r="AH32" s="518"/>
      <c r="AI32" s="671"/>
      <c r="AJ32" s="675"/>
    </row>
    <row r="33" spans="1:38" ht="24.95" customHeight="1" x14ac:dyDescent="0.2">
      <c r="A33" s="493" t="s">
        <v>850</v>
      </c>
      <c r="B33" s="495" t="s">
        <v>851</v>
      </c>
      <c r="C33" s="615" t="s">
        <v>373</v>
      </c>
      <c r="D33" s="495" t="s">
        <v>374</v>
      </c>
      <c r="E33" s="620" t="s">
        <v>747</v>
      </c>
      <c r="F33" s="411" t="s">
        <v>852</v>
      </c>
      <c r="G33" s="411" t="s">
        <v>376</v>
      </c>
      <c r="H33" s="410" t="s">
        <v>310</v>
      </c>
      <c r="I33" s="412" t="s">
        <v>311</v>
      </c>
      <c r="J33" s="412" t="s">
        <v>32</v>
      </c>
      <c r="K33" s="412" t="s">
        <v>32</v>
      </c>
      <c r="L33" s="518">
        <v>29654.51</v>
      </c>
      <c r="M33" s="646"/>
      <c r="N33" s="646"/>
      <c r="O33" s="536">
        <f>L33</f>
        <v>29654.51</v>
      </c>
      <c r="P33" s="574"/>
      <c r="Q33" s="574"/>
      <c r="R33" s="536">
        <f>O33</f>
        <v>29654.51</v>
      </c>
      <c r="S33" s="536"/>
      <c r="T33" s="570"/>
      <c r="U33" s="536">
        <f>R33+T33+S33</f>
        <v>29654.51</v>
      </c>
      <c r="V33" s="554">
        <f>U33</f>
        <v>29654.51</v>
      </c>
      <c r="W33" s="29">
        <f>U33</f>
        <v>29654.51</v>
      </c>
      <c r="X33" s="29">
        <f>W33</f>
        <v>29654.51</v>
      </c>
      <c r="Y33" s="536">
        <f>V33-X33-X34</f>
        <v>0</v>
      </c>
      <c r="Z33" s="661">
        <f>V33*0.8</f>
        <v>23723.608</v>
      </c>
      <c r="AA33" s="29">
        <f>Z33</f>
        <v>23723.608</v>
      </c>
      <c r="AB33" s="29">
        <f>AA33</f>
        <v>23723.608</v>
      </c>
      <c r="AC33" s="518">
        <f>Z33-AB33-AB34</f>
        <v>0</v>
      </c>
      <c r="AD33" s="75"/>
      <c r="AE33" s="75"/>
      <c r="AF33" s="67"/>
      <c r="AG33" s="518">
        <f>18250</f>
        <v>18250</v>
      </c>
      <c r="AH33" s="518">
        <f>14600</f>
        <v>14600</v>
      </c>
      <c r="AI33" s="671">
        <f>Z33-AG33-AH33-AF33-AF34</f>
        <v>-9126.3919999999998</v>
      </c>
      <c r="AJ33" s="675" t="s">
        <v>377</v>
      </c>
      <c r="AK33" s="252">
        <f>AG33/V33</f>
        <v>0.61542072352569643</v>
      </c>
      <c r="AL33" s="252">
        <f>AH33/R33/0.8</f>
        <v>0.61542072352569643</v>
      </c>
    </row>
    <row r="34" spans="1:38" ht="24.95" customHeight="1" x14ac:dyDescent="0.2">
      <c r="A34" s="493"/>
      <c r="B34" s="495"/>
      <c r="C34" s="615"/>
      <c r="D34" s="495"/>
      <c r="E34" s="463"/>
      <c r="F34" s="411"/>
      <c r="G34" s="411"/>
      <c r="H34" s="410"/>
      <c r="I34" s="412"/>
      <c r="J34" s="412"/>
      <c r="K34" s="412"/>
      <c r="L34" s="518"/>
      <c r="M34" s="646"/>
      <c r="N34" s="646"/>
      <c r="O34" s="538"/>
      <c r="P34" s="575"/>
      <c r="Q34" s="575"/>
      <c r="R34" s="538"/>
      <c r="S34" s="538"/>
      <c r="T34" s="572"/>
      <c r="U34" s="538"/>
      <c r="V34" s="555"/>
      <c r="W34" s="29">
        <f>V33-W33</f>
        <v>0</v>
      </c>
      <c r="X34" s="29">
        <f>W34</f>
        <v>0</v>
      </c>
      <c r="Y34" s="538"/>
      <c r="Z34" s="660"/>
      <c r="AA34" s="29"/>
      <c r="AB34" s="29"/>
      <c r="AC34" s="518"/>
      <c r="AD34" s="75"/>
      <c r="AE34" s="75"/>
      <c r="AF34" s="67"/>
      <c r="AG34" s="518"/>
      <c r="AH34" s="518"/>
      <c r="AI34" s="671"/>
      <c r="AJ34" s="675"/>
    </row>
    <row r="35" spans="1:38" ht="24.95" customHeight="1" x14ac:dyDescent="0.2">
      <c r="A35" s="533">
        <v>17</v>
      </c>
      <c r="B35" s="520" t="s">
        <v>642</v>
      </c>
      <c r="C35" s="612" t="s">
        <v>378</v>
      </c>
      <c r="D35" s="520" t="s">
        <v>379</v>
      </c>
      <c r="E35" s="620" t="s">
        <v>747</v>
      </c>
      <c r="F35" s="362" t="s">
        <v>380</v>
      </c>
      <c r="G35" s="362" t="s">
        <v>47</v>
      </c>
      <c r="H35" s="620" t="s">
        <v>48</v>
      </c>
      <c r="I35" s="469" t="s">
        <v>49</v>
      </c>
      <c r="J35" s="469" t="s">
        <v>32</v>
      </c>
      <c r="K35" s="469" t="s">
        <v>32</v>
      </c>
      <c r="L35" s="536">
        <v>950607</v>
      </c>
      <c r="M35" s="536">
        <v>209200</v>
      </c>
      <c r="N35" s="570"/>
      <c r="O35" s="536">
        <v>949556</v>
      </c>
      <c r="P35" s="536">
        <v>209200</v>
      </c>
      <c r="Q35" s="574"/>
      <c r="R35" s="536">
        <v>940061</v>
      </c>
      <c r="S35" s="536">
        <v>175281</v>
      </c>
      <c r="T35" s="570"/>
      <c r="U35" s="536">
        <f>R35+T35+S35</f>
        <v>1115342</v>
      </c>
      <c r="V35" s="554">
        <f>U35</f>
        <v>1115342</v>
      </c>
      <c r="W35" s="29">
        <v>598308</v>
      </c>
      <c r="X35" s="29">
        <f>W35</f>
        <v>598308</v>
      </c>
      <c r="Y35" s="536">
        <f>V35-X35-X36-X38-X39-X37</f>
        <v>0</v>
      </c>
      <c r="Z35" s="661">
        <f>V35*0.8</f>
        <v>892273.60000000009</v>
      </c>
      <c r="AA35" s="29">
        <v>478646.4</v>
      </c>
      <c r="AB35" s="29">
        <f>AA35</f>
        <v>478646.4</v>
      </c>
      <c r="AC35" s="536">
        <f>Z35-AB35-AB36-AB37</f>
        <v>413627.20000000007</v>
      </c>
      <c r="AD35" s="36" t="s">
        <v>324</v>
      </c>
      <c r="AE35" s="36" t="s">
        <v>43</v>
      </c>
      <c r="AF35" s="29">
        <f>21.869*2500</f>
        <v>54672.5</v>
      </c>
      <c r="AG35" s="536">
        <f>140447.89</f>
        <v>140447.89000000001</v>
      </c>
      <c r="AH35" s="536">
        <f>63553.35</f>
        <v>63553.35</v>
      </c>
      <c r="AI35" s="672">
        <f>Z35-AG35-AH35-AF35-AF36-AF38-AF39-AF37</f>
        <v>579554.66000000015</v>
      </c>
      <c r="AJ35" s="675"/>
      <c r="AK35" s="252">
        <f>AG35/V35</f>
        <v>0.12592360908134009</v>
      </c>
      <c r="AL35" s="252">
        <f>AH35/R35/0.8</f>
        <v>8.450694954901862E-2</v>
      </c>
    </row>
    <row r="36" spans="1:38" ht="24.95" customHeight="1" x14ac:dyDescent="0.2">
      <c r="A36" s="534"/>
      <c r="B36" s="521"/>
      <c r="C36" s="613"/>
      <c r="D36" s="521"/>
      <c r="E36" s="621"/>
      <c r="F36" s="363"/>
      <c r="G36" s="363"/>
      <c r="H36" s="621"/>
      <c r="I36" s="619"/>
      <c r="J36" s="619"/>
      <c r="K36" s="619"/>
      <c r="L36" s="537"/>
      <c r="M36" s="537"/>
      <c r="N36" s="571"/>
      <c r="O36" s="537"/>
      <c r="P36" s="537"/>
      <c r="Q36" s="647"/>
      <c r="R36" s="537"/>
      <c r="S36" s="537"/>
      <c r="T36" s="571"/>
      <c r="U36" s="537"/>
      <c r="V36" s="556"/>
      <c r="W36" s="29">
        <v>517034</v>
      </c>
      <c r="X36" s="29">
        <f t="shared" ref="X36:X40" si="3">W36</f>
        <v>517034</v>
      </c>
      <c r="Y36" s="537"/>
      <c r="Z36" s="662"/>
      <c r="AA36" s="29"/>
      <c r="AB36" s="29"/>
      <c r="AC36" s="537"/>
      <c r="AD36" s="36" t="s">
        <v>324</v>
      </c>
      <c r="AE36" s="36" t="s">
        <v>36</v>
      </c>
      <c r="AF36" s="29">
        <f>11*150</f>
        <v>1650</v>
      </c>
      <c r="AG36" s="537"/>
      <c r="AH36" s="537"/>
      <c r="AI36" s="673"/>
      <c r="AJ36" s="675"/>
    </row>
    <row r="37" spans="1:38" ht="24.95" customHeight="1" x14ac:dyDescent="0.2">
      <c r="A37" s="534"/>
      <c r="B37" s="521"/>
      <c r="C37" s="613"/>
      <c r="D37" s="521"/>
      <c r="E37" s="621"/>
      <c r="F37" s="363"/>
      <c r="G37" s="363"/>
      <c r="H37" s="621"/>
      <c r="I37" s="619"/>
      <c r="J37" s="619"/>
      <c r="K37" s="619"/>
      <c r="L37" s="537"/>
      <c r="M37" s="537"/>
      <c r="N37" s="571"/>
      <c r="O37" s="537"/>
      <c r="P37" s="537"/>
      <c r="Q37" s="647"/>
      <c r="R37" s="537"/>
      <c r="S37" s="537"/>
      <c r="T37" s="571"/>
      <c r="U37" s="537"/>
      <c r="V37" s="556"/>
      <c r="W37" s="29"/>
      <c r="X37" s="29">
        <v>0</v>
      </c>
      <c r="Y37" s="537"/>
      <c r="Z37" s="662"/>
      <c r="AA37" s="29"/>
      <c r="AB37" s="29"/>
      <c r="AC37" s="537"/>
      <c r="AD37" s="36" t="s">
        <v>381</v>
      </c>
      <c r="AE37" s="36" t="s">
        <v>382</v>
      </c>
      <c r="AF37" s="29">
        <v>24000</v>
      </c>
      <c r="AG37" s="537"/>
      <c r="AH37" s="537"/>
      <c r="AI37" s="673"/>
      <c r="AJ37" s="675"/>
    </row>
    <row r="38" spans="1:38" ht="24.95" customHeight="1" x14ac:dyDescent="0.2">
      <c r="A38" s="534"/>
      <c r="B38" s="521"/>
      <c r="C38" s="613"/>
      <c r="D38" s="521"/>
      <c r="E38" s="621"/>
      <c r="F38" s="363"/>
      <c r="G38" s="363"/>
      <c r="H38" s="621"/>
      <c r="I38" s="619"/>
      <c r="J38" s="619"/>
      <c r="K38" s="619"/>
      <c r="L38" s="537"/>
      <c r="M38" s="537"/>
      <c r="N38" s="571"/>
      <c r="O38" s="537"/>
      <c r="P38" s="537"/>
      <c r="Q38" s="647"/>
      <c r="R38" s="537"/>
      <c r="S38" s="537"/>
      <c r="T38" s="571"/>
      <c r="U38" s="537"/>
      <c r="V38" s="556"/>
      <c r="W38" s="29"/>
      <c r="X38" s="29">
        <f t="shared" si="3"/>
        <v>0</v>
      </c>
      <c r="Y38" s="537"/>
      <c r="Z38" s="662"/>
      <c r="AA38" s="29"/>
      <c r="AB38" s="29"/>
      <c r="AC38" s="537"/>
      <c r="AD38" s="36" t="s">
        <v>37</v>
      </c>
      <c r="AE38" s="36" t="s">
        <v>280</v>
      </c>
      <c r="AF38" s="29">
        <f>21.869*800</f>
        <v>17495.2</v>
      </c>
      <c r="AG38" s="537"/>
      <c r="AH38" s="537"/>
      <c r="AI38" s="673"/>
      <c r="AJ38" s="675"/>
    </row>
    <row r="39" spans="1:38" ht="24.95" customHeight="1" x14ac:dyDescent="0.2">
      <c r="A39" s="535"/>
      <c r="B39" s="522"/>
      <c r="C39" s="614"/>
      <c r="D39" s="522"/>
      <c r="E39" s="463"/>
      <c r="F39" s="364"/>
      <c r="G39" s="364"/>
      <c r="H39" s="463"/>
      <c r="I39" s="468"/>
      <c r="J39" s="468"/>
      <c r="K39" s="468"/>
      <c r="L39" s="538"/>
      <c r="M39" s="538"/>
      <c r="N39" s="572"/>
      <c r="O39" s="538"/>
      <c r="P39" s="538"/>
      <c r="Q39" s="575"/>
      <c r="R39" s="538"/>
      <c r="S39" s="538"/>
      <c r="T39" s="572"/>
      <c r="U39" s="538"/>
      <c r="V39" s="555"/>
      <c r="W39" s="29"/>
      <c r="X39" s="29">
        <f t="shared" si="3"/>
        <v>0</v>
      </c>
      <c r="Y39" s="538"/>
      <c r="Z39" s="660"/>
      <c r="AA39" s="29"/>
      <c r="AB39" s="29"/>
      <c r="AC39" s="538"/>
      <c r="AD39" s="36" t="s">
        <v>37</v>
      </c>
      <c r="AE39" s="36" t="s">
        <v>63</v>
      </c>
      <c r="AF39" s="29">
        <f>218*50</f>
        <v>10900</v>
      </c>
      <c r="AG39" s="538"/>
      <c r="AH39" s="538"/>
      <c r="AI39" s="674"/>
      <c r="AJ39" s="675"/>
    </row>
    <row r="40" spans="1:38" ht="24.95" customHeight="1" x14ac:dyDescent="0.2">
      <c r="A40" s="493">
        <v>18</v>
      </c>
      <c r="B40" s="495" t="s">
        <v>383</v>
      </c>
      <c r="C40" s="615" t="s">
        <v>384</v>
      </c>
      <c r="D40" s="495" t="s">
        <v>385</v>
      </c>
      <c r="E40" s="629" t="s">
        <v>386</v>
      </c>
      <c r="F40" s="411" t="s">
        <v>387</v>
      </c>
      <c r="G40" s="411" t="s">
        <v>47</v>
      </c>
      <c r="H40" s="410" t="s">
        <v>244</v>
      </c>
      <c r="I40" s="412" t="s">
        <v>339</v>
      </c>
      <c r="J40" s="412" t="s">
        <v>32</v>
      </c>
      <c r="K40" s="412" t="s">
        <v>32</v>
      </c>
      <c r="L40" s="518">
        <v>217831</v>
      </c>
      <c r="M40" s="560">
        <v>51000</v>
      </c>
      <c r="N40" s="645"/>
      <c r="O40" s="557">
        <f>L40</f>
        <v>217831</v>
      </c>
      <c r="P40" s="557">
        <f>M40</f>
        <v>51000</v>
      </c>
      <c r="Q40" s="576"/>
      <c r="R40" s="536">
        <f>O40</f>
        <v>217831</v>
      </c>
      <c r="S40" s="536">
        <f>P40</f>
        <v>51000</v>
      </c>
      <c r="T40" s="536">
        <f>Q40</f>
        <v>0</v>
      </c>
      <c r="U40" s="536">
        <f>R40+T40+S40</f>
        <v>268831</v>
      </c>
      <c r="V40" s="554">
        <f>U40</f>
        <v>268831</v>
      </c>
      <c r="W40" s="61">
        <v>247048</v>
      </c>
      <c r="X40" s="61">
        <f t="shared" si="3"/>
        <v>247048</v>
      </c>
      <c r="Y40" s="654">
        <f>V40-X40-X41-X42</f>
        <v>0</v>
      </c>
      <c r="Z40" s="661">
        <f>V40*0.82</f>
        <v>220441.41999999998</v>
      </c>
      <c r="AA40" s="29">
        <v>49544.02</v>
      </c>
      <c r="AB40" s="29">
        <f>AA40</f>
        <v>49544.02</v>
      </c>
      <c r="AC40" s="518">
        <f>Z40-AB40-AB41-AB42</f>
        <v>0.39999999999417923</v>
      </c>
      <c r="AD40" s="36" t="s">
        <v>324</v>
      </c>
      <c r="AE40" s="36" t="s">
        <v>286</v>
      </c>
      <c r="AF40" s="29">
        <f>3.4*2500+6*150</f>
        <v>9400</v>
      </c>
      <c r="AG40" s="536">
        <f>61762</f>
        <v>61762</v>
      </c>
      <c r="AH40" s="536">
        <f>33462.21</f>
        <v>33462.21</v>
      </c>
      <c r="AI40" s="671">
        <f>Z40-AF40-AF41-AF42-AG40-AH40</f>
        <v>115817.20999999999</v>
      </c>
      <c r="AJ40" s="675" t="s">
        <v>388</v>
      </c>
      <c r="AK40" s="252">
        <f>AG40/V40</f>
        <v>0.22974284959695868</v>
      </c>
      <c r="AL40" s="252">
        <f>AH40/Z40</f>
        <v>0.15179638200479748</v>
      </c>
    </row>
    <row r="41" spans="1:38" ht="24.95" customHeight="1" x14ac:dyDescent="0.2">
      <c r="A41" s="493"/>
      <c r="B41" s="495"/>
      <c r="C41" s="615"/>
      <c r="D41" s="495"/>
      <c r="E41" s="630"/>
      <c r="F41" s="411"/>
      <c r="G41" s="411"/>
      <c r="H41" s="410"/>
      <c r="I41" s="412"/>
      <c r="J41" s="412"/>
      <c r="K41" s="412"/>
      <c r="L41" s="518"/>
      <c r="M41" s="560"/>
      <c r="N41" s="645"/>
      <c r="O41" s="558"/>
      <c r="P41" s="558"/>
      <c r="Q41" s="692"/>
      <c r="R41" s="537"/>
      <c r="S41" s="537"/>
      <c r="T41" s="537"/>
      <c r="U41" s="537"/>
      <c r="V41" s="556"/>
      <c r="W41" s="61">
        <v>21783</v>
      </c>
      <c r="X41" s="61">
        <v>21783</v>
      </c>
      <c r="Y41" s="656"/>
      <c r="Z41" s="662"/>
      <c r="AA41" s="29">
        <v>156939</v>
      </c>
      <c r="AB41" s="29">
        <f>AA41</f>
        <v>156939</v>
      </c>
      <c r="AC41" s="518"/>
      <c r="AD41" s="75"/>
      <c r="AE41" s="75"/>
      <c r="AF41" s="67"/>
      <c r="AG41" s="537"/>
      <c r="AH41" s="537"/>
      <c r="AI41" s="671"/>
      <c r="AJ41" s="675"/>
    </row>
    <row r="42" spans="1:38" ht="24.95" customHeight="1" x14ac:dyDescent="0.2">
      <c r="A42" s="493"/>
      <c r="B42" s="495"/>
      <c r="C42" s="615"/>
      <c r="D42" s="495"/>
      <c r="E42" s="631"/>
      <c r="F42" s="411"/>
      <c r="G42" s="411"/>
      <c r="H42" s="410"/>
      <c r="I42" s="412"/>
      <c r="J42" s="412"/>
      <c r="K42" s="412"/>
      <c r="L42" s="518"/>
      <c r="M42" s="560"/>
      <c r="N42" s="645"/>
      <c r="O42" s="559"/>
      <c r="P42" s="559"/>
      <c r="Q42" s="577"/>
      <c r="R42" s="538"/>
      <c r="S42" s="538"/>
      <c r="T42" s="538"/>
      <c r="U42" s="538"/>
      <c r="V42" s="555"/>
      <c r="W42" s="61"/>
      <c r="X42" s="61"/>
      <c r="Y42" s="655"/>
      <c r="Z42" s="660"/>
      <c r="AA42" s="29">
        <v>13958</v>
      </c>
      <c r="AB42" s="29">
        <f>AA42</f>
        <v>13958</v>
      </c>
      <c r="AC42" s="518"/>
      <c r="AD42" s="75"/>
      <c r="AE42" s="75"/>
      <c r="AF42" s="67"/>
      <c r="AG42" s="538"/>
      <c r="AH42" s="538"/>
      <c r="AI42" s="671"/>
      <c r="AJ42" s="675"/>
    </row>
    <row r="43" spans="1:38" ht="24.95" customHeight="1" x14ac:dyDescent="0.2">
      <c r="A43" s="533">
        <v>21</v>
      </c>
      <c r="B43" s="520" t="s">
        <v>389</v>
      </c>
      <c r="C43" s="520" t="s">
        <v>390</v>
      </c>
      <c r="D43" s="520" t="s">
        <v>391</v>
      </c>
      <c r="E43" s="620" t="s">
        <v>222</v>
      </c>
      <c r="F43" s="362" t="s">
        <v>392</v>
      </c>
      <c r="G43" s="362" t="s">
        <v>29</v>
      </c>
      <c r="H43" s="620" t="s">
        <v>30</v>
      </c>
      <c r="I43" s="469" t="s">
        <v>31</v>
      </c>
      <c r="J43" s="469" t="s">
        <v>32</v>
      </c>
      <c r="K43" s="469" t="s">
        <v>33</v>
      </c>
      <c r="L43" s="536">
        <v>174957</v>
      </c>
      <c r="M43" s="557">
        <v>32190</v>
      </c>
      <c r="N43" s="65"/>
      <c r="O43" s="557">
        <v>173207</v>
      </c>
      <c r="P43" s="557">
        <f>31868</f>
        <v>31868</v>
      </c>
      <c r="Q43" s="65"/>
      <c r="R43" s="557">
        <f>O43</f>
        <v>173207</v>
      </c>
      <c r="S43" s="557">
        <f>P43</f>
        <v>31868</v>
      </c>
      <c r="T43" s="67"/>
      <c r="U43" s="536">
        <f>R43+S43</f>
        <v>205075</v>
      </c>
      <c r="V43" s="554">
        <f>U43</f>
        <v>205075</v>
      </c>
      <c r="W43" s="29">
        <v>164060</v>
      </c>
      <c r="X43" s="29">
        <v>164060</v>
      </c>
      <c r="Y43" s="536">
        <f>V43-X43-X44</f>
        <v>0</v>
      </c>
      <c r="Z43" s="661">
        <f>V43*0.8</f>
        <v>164060</v>
      </c>
      <c r="AA43" s="29"/>
      <c r="AB43" s="29">
        <v>131248</v>
      </c>
      <c r="AC43" s="536">
        <f>Z43-AB43-AB44</f>
        <v>0</v>
      </c>
      <c r="AD43" s="36" t="s">
        <v>324</v>
      </c>
      <c r="AE43" s="36" t="s">
        <v>36</v>
      </c>
      <c r="AF43" s="29">
        <f>150*12</f>
        <v>1800</v>
      </c>
      <c r="AG43" s="536"/>
      <c r="AH43" s="536"/>
      <c r="AI43" s="672">
        <f>Z43-AF43-AF44-AG43-AH43</f>
        <v>142520</v>
      </c>
      <c r="AJ43" s="675"/>
      <c r="AK43" s="252">
        <f>AG43/V43</f>
        <v>0</v>
      </c>
      <c r="AL43" s="252">
        <f>AH43/R43/0.8</f>
        <v>0</v>
      </c>
    </row>
    <row r="44" spans="1:38" ht="24.95" customHeight="1" x14ac:dyDescent="0.2">
      <c r="A44" s="534"/>
      <c r="B44" s="521"/>
      <c r="C44" s="521"/>
      <c r="D44" s="521"/>
      <c r="E44" s="621"/>
      <c r="F44" s="363"/>
      <c r="G44" s="363"/>
      <c r="H44" s="621"/>
      <c r="I44" s="619"/>
      <c r="J44" s="619"/>
      <c r="K44" s="619"/>
      <c r="L44" s="537"/>
      <c r="M44" s="558"/>
      <c r="N44" s="65"/>
      <c r="O44" s="558"/>
      <c r="P44" s="558"/>
      <c r="Q44" s="65"/>
      <c r="R44" s="558"/>
      <c r="S44" s="558"/>
      <c r="T44" s="67"/>
      <c r="U44" s="537"/>
      <c r="V44" s="556"/>
      <c r="W44" s="29">
        <v>41015</v>
      </c>
      <c r="X44" s="29">
        <v>41015</v>
      </c>
      <c r="Y44" s="537"/>
      <c r="Z44" s="662"/>
      <c r="AA44" s="29"/>
      <c r="AB44" s="29">
        <f>X44*0.8</f>
        <v>32812</v>
      </c>
      <c r="AC44" s="537"/>
      <c r="AD44" s="36" t="s">
        <v>393</v>
      </c>
      <c r="AE44" s="36" t="s">
        <v>43</v>
      </c>
      <c r="AF44" s="29">
        <f>3.29*6000</f>
        <v>19740</v>
      </c>
      <c r="AG44" s="537"/>
      <c r="AH44" s="537"/>
      <c r="AI44" s="673"/>
      <c r="AJ44" s="675"/>
    </row>
    <row r="45" spans="1:38" ht="24.95" customHeight="1" x14ac:dyDescent="0.2">
      <c r="A45" s="533">
        <v>22</v>
      </c>
      <c r="B45" s="520" t="s">
        <v>389</v>
      </c>
      <c r="C45" s="612" t="s">
        <v>390</v>
      </c>
      <c r="D45" s="520" t="s">
        <v>394</v>
      </c>
      <c r="E45" s="620" t="s">
        <v>222</v>
      </c>
      <c r="F45" s="362" t="s">
        <v>395</v>
      </c>
      <c r="G45" s="362" t="s">
        <v>29</v>
      </c>
      <c r="H45" s="620" t="s">
        <v>30</v>
      </c>
      <c r="I45" s="469" t="s">
        <v>31</v>
      </c>
      <c r="J45" s="469" t="s">
        <v>32</v>
      </c>
      <c r="K45" s="469" t="s">
        <v>33</v>
      </c>
      <c r="L45" s="557">
        <v>204137</v>
      </c>
      <c r="M45" s="557">
        <v>73290</v>
      </c>
      <c r="N45" s="65"/>
      <c r="O45" s="557">
        <v>202095</v>
      </c>
      <c r="P45" s="557">
        <v>72557</v>
      </c>
      <c r="Q45" s="65"/>
      <c r="R45" s="557">
        <f>O45</f>
        <v>202095</v>
      </c>
      <c r="S45" s="557">
        <f>P45</f>
        <v>72557</v>
      </c>
      <c r="T45" s="67"/>
      <c r="U45" s="536">
        <f>R45+S45</f>
        <v>274652</v>
      </c>
      <c r="V45" s="554">
        <f>U45</f>
        <v>274652</v>
      </c>
      <c r="W45" s="29">
        <v>219721.60000000001</v>
      </c>
      <c r="X45" s="29">
        <v>219721.60000000001</v>
      </c>
      <c r="Y45" s="536">
        <f>V45-X45-X46</f>
        <v>0</v>
      </c>
      <c r="Z45" s="661">
        <f>V45*0.8</f>
        <v>219721.60000000001</v>
      </c>
      <c r="AA45" s="29"/>
      <c r="AB45" s="29">
        <v>175777.28</v>
      </c>
      <c r="AC45" s="536">
        <f>Z45-AB45-AB46</f>
        <v>0</v>
      </c>
      <c r="AD45" s="36" t="s">
        <v>324</v>
      </c>
      <c r="AE45" s="36" t="s">
        <v>36</v>
      </c>
      <c r="AF45" s="29">
        <f>150*13</f>
        <v>1950</v>
      </c>
      <c r="AG45" s="536"/>
      <c r="AH45" s="536"/>
      <c r="AI45" s="672">
        <f>Z45-AF45-AF46-AG45-AH45</f>
        <v>173797.6</v>
      </c>
      <c r="AJ45" s="675"/>
      <c r="AK45" s="252">
        <f>AG45/V45</f>
        <v>0</v>
      </c>
      <c r="AL45" s="252">
        <f>AH45/R45/0.8</f>
        <v>0</v>
      </c>
    </row>
    <row r="46" spans="1:38" ht="24.95" customHeight="1" x14ac:dyDescent="0.2">
      <c r="A46" s="534"/>
      <c r="B46" s="521"/>
      <c r="C46" s="613"/>
      <c r="D46" s="521"/>
      <c r="E46" s="621"/>
      <c r="F46" s="363"/>
      <c r="G46" s="363"/>
      <c r="H46" s="621"/>
      <c r="I46" s="619"/>
      <c r="J46" s="619"/>
      <c r="K46" s="619"/>
      <c r="L46" s="558"/>
      <c r="M46" s="558"/>
      <c r="N46" s="65"/>
      <c r="O46" s="558"/>
      <c r="P46" s="558"/>
      <c r="Q46" s="65"/>
      <c r="R46" s="558"/>
      <c r="S46" s="558"/>
      <c r="T46" s="67"/>
      <c r="U46" s="537"/>
      <c r="V46" s="556"/>
      <c r="W46" s="29">
        <v>54930.400000000001</v>
      </c>
      <c r="X46" s="29">
        <f>W46</f>
        <v>54930.400000000001</v>
      </c>
      <c r="Y46" s="537"/>
      <c r="Z46" s="662"/>
      <c r="AA46" s="29"/>
      <c r="AB46" s="29">
        <f>X46*0.8</f>
        <v>43944.320000000007</v>
      </c>
      <c r="AC46" s="537"/>
      <c r="AD46" s="36" t="s">
        <v>393</v>
      </c>
      <c r="AE46" s="36" t="s">
        <v>43</v>
      </c>
      <c r="AF46" s="29">
        <f>7.329*6000</f>
        <v>43974</v>
      </c>
      <c r="AG46" s="537"/>
      <c r="AH46" s="537"/>
      <c r="AI46" s="673"/>
      <c r="AJ46" s="675"/>
    </row>
    <row r="47" spans="1:38" ht="24.95" customHeight="1" x14ac:dyDescent="0.2">
      <c r="A47" s="10">
        <v>25</v>
      </c>
      <c r="B47" s="294" t="s">
        <v>396</v>
      </c>
      <c r="C47" s="295" t="s">
        <v>854</v>
      </c>
      <c r="D47" s="294" t="s">
        <v>397</v>
      </c>
      <c r="E47" s="97" t="s">
        <v>398</v>
      </c>
      <c r="F47" s="12" t="s">
        <v>399</v>
      </c>
      <c r="G47" s="12" t="s">
        <v>47</v>
      </c>
      <c r="H47" s="11" t="s">
        <v>48</v>
      </c>
      <c r="I47" s="80" t="s">
        <v>400</v>
      </c>
      <c r="J47" s="19" t="s">
        <v>32</v>
      </c>
      <c r="K47" s="19" t="s">
        <v>32</v>
      </c>
      <c r="L47" s="22">
        <v>262124</v>
      </c>
      <c r="M47" s="21"/>
      <c r="N47" s="21"/>
      <c r="O47" s="22">
        <v>142328</v>
      </c>
      <c r="P47" s="21"/>
      <c r="Q47" s="21"/>
      <c r="R47" s="29">
        <f>O47</f>
        <v>142328</v>
      </c>
      <c r="S47" s="29">
        <v>0</v>
      </c>
      <c r="T47" s="29">
        <v>0</v>
      </c>
      <c r="U47" s="29">
        <f>R47+S47+T47</f>
        <v>142328</v>
      </c>
      <c r="V47" s="168">
        <f>U47</f>
        <v>142328</v>
      </c>
      <c r="W47" s="29">
        <v>142328</v>
      </c>
      <c r="X47" s="29">
        <v>142328</v>
      </c>
      <c r="Y47" s="29">
        <f>V47-X47</f>
        <v>0</v>
      </c>
      <c r="Z47" s="150">
        <f>X47*0.75</f>
        <v>106746</v>
      </c>
      <c r="AA47" s="29">
        <v>106746</v>
      </c>
      <c r="AB47" s="29">
        <v>0</v>
      </c>
      <c r="AC47" s="29">
        <f>Z47-AB47</f>
        <v>106746</v>
      </c>
      <c r="AD47" s="37"/>
      <c r="AE47" s="37"/>
      <c r="AF47" s="32"/>
      <c r="AG47" s="29">
        <f>V47*0.25</f>
        <v>35582</v>
      </c>
      <c r="AH47" s="29">
        <f>Z47*0.2</f>
        <v>21349.200000000001</v>
      </c>
      <c r="AI47" s="151">
        <f>Z47-AF47-AG47-AH47</f>
        <v>49814.8</v>
      </c>
      <c r="AJ47" s="78" t="s">
        <v>401</v>
      </c>
      <c r="AK47" s="252">
        <f>AG47/V47</f>
        <v>0.25</v>
      </c>
      <c r="AL47" s="252">
        <f>AH47/R47/0.8</f>
        <v>0.18749999999999997</v>
      </c>
    </row>
    <row r="48" spans="1:38" ht="24.95" customHeight="1" x14ac:dyDescent="0.2">
      <c r="A48" s="533">
        <v>26</v>
      </c>
      <c r="B48" s="520" t="s">
        <v>402</v>
      </c>
      <c r="C48" s="612" t="s">
        <v>855</v>
      </c>
      <c r="D48" s="520" t="s">
        <v>403</v>
      </c>
      <c r="E48" s="620" t="s">
        <v>222</v>
      </c>
      <c r="F48" s="362" t="s">
        <v>404</v>
      </c>
      <c r="G48" s="362" t="s">
        <v>582</v>
      </c>
      <c r="H48" s="620" t="s">
        <v>583</v>
      </c>
      <c r="I48" s="469" t="s">
        <v>584</v>
      </c>
      <c r="J48" s="469" t="s">
        <v>33</v>
      </c>
      <c r="K48" s="469" t="s">
        <v>33</v>
      </c>
      <c r="L48" s="566">
        <v>1107311.5</v>
      </c>
      <c r="M48" s="564">
        <v>46104</v>
      </c>
      <c r="N48" s="561"/>
      <c r="O48" s="557">
        <v>796538.75</v>
      </c>
      <c r="P48" s="557">
        <v>33797.72</v>
      </c>
      <c r="Q48" s="561"/>
      <c r="R48" s="536">
        <f>O48</f>
        <v>796538.75</v>
      </c>
      <c r="S48" s="536">
        <f>P48</f>
        <v>33797.72</v>
      </c>
      <c r="T48" s="561"/>
      <c r="U48" s="536">
        <f>R48+S48+T50</f>
        <v>830336.47</v>
      </c>
      <c r="V48" s="554">
        <f>U48</f>
        <v>830336.47</v>
      </c>
      <c r="W48" s="29">
        <v>179934</v>
      </c>
      <c r="X48" s="29">
        <f>W48</f>
        <v>179934</v>
      </c>
      <c r="Y48" s="654">
        <f>V48-X50-X48-X49</f>
        <v>530418.85</v>
      </c>
      <c r="Z48" s="661">
        <f>V48*0.8</f>
        <v>664269.17599999998</v>
      </c>
      <c r="AA48" s="29">
        <f>X48*0.8</f>
        <v>143947.20000000001</v>
      </c>
      <c r="AB48" s="29">
        <f>AA48</f>
        <v>143947.20000000001</v>
      </c>
      <c r="AC48" s="536">
        <f>Z48-AB48-AB49-AB50</f>
        <v>424335.07999999996</v>
      </c>
      <c r="AD48" s="36"/>
      <c r="AE48" s="36"/>
      <c r="AF48" s="29"/>
      <c r="AG48" s="29"/>
      <c r="AH48" s="29"/>
      <c r="AI48" s="151"/>
      <c r="AJ48" s="677"/>
      <c r="AK48" s="252">
        <f>AG48/V48</f>
        <v>0</v>
      </c>
      <c r="AL48" s="252">
        <f>AH48/R48/0.8</f>
        <v>0</v>
      </c>
    </row>
    <row r="49" spans="1:38" ht="24.95" customHeight="1" x14ac:dyDescent="0.2">
      <c r="A49" s="534"/>
      <c r="B49" s="521"/>
      <c r="C49" s="613"/>
      <c r="D49" s="521"/>
      <c r="E49" s="621"/>
      <c r="F49" s="363"/>
      <c r="G49" s="363"/>
      <c r="H49" s="621"/>
      <c r="I49" s="619"/>
      <c r="J49" s="619"/>
      <c r="K49" s="619"/>
      <c r="L49" s="573"/>
      <c r="M49" s="584"/>
      <c r="N49" s="562"/>
      <c r="O49" s="558"/>
      <c r="P49" s="558"/>
      <c r="Q49" s="562"/>
      <c r="R49" s="537"/>
      <c r="S49" s="537"/>
      <c r="T49" s="562"/>
      <c r="U49" s="537"/>
      <c r="V49" s="556"/>
      <c r="W49" s="29">
        <v>119983.62</v>
      </c>
      <c r="X49" s="29">
        <f>W49</f>
        <v>119983.62</v>
      </c>
      <c r="Y49" s="656"/>
      <c r="Z49" s="662"/>
      <c r="AA49" s="29">
        <f>X49*0.8</f>
        <v>95986.896000000008</v>
      </c>
      <c r="AB49" s="29">
        <f>AA49</f>
        <v>95986.896000000008</v>
      </c>
      <c r="AC49" s="537"/>
      <c r="AD49" s="36"/>
      <c r="AE49" s="36"/>
      <c r="AF49" s="29"/>
      <c r="AG49" s="29"/>
      <c r="AH49" s="29"/>
      <c r="AI49" s="151"/>
      <c r="AJ49" s="678"/>
    </row>
    <row r="50" spans="1:38" ht="24.95" customHeight="1" x14ac:dyDescent="0.2">
      <c r="A50" s="534"/>
      <c r="B50" s="521"/>
      <c r="C50" s="613"/>
      <c r="D50" s="522"/>
      <c r="E50" s="621"/>
      <c r="F50" s="364"/>
      <c r="G50" s="363"/>
      <c r="H50" s="621"/>
      <c r="I50" s="619"/>
      <c r="J50" s="619"/>
      <c r="K50" s="619"/>
      <c r="L50" s="567"/>
      <c r="M50" s="565"/>
      <c r="N50" s="563"/>
      <c r="O50" s="559"/>
      <c r="P50" s="559"/>
      <c r="Q50" s="563"/>
      <c r="R50" s="538"/>
      <c r="S50" s="538"/>
      <c r="T50" s="563"/>
      <c r="U50" s="538"/>
      <c r="V50" s="555"/>
      <c r="W50" s="29"/>
      <c r="X50" s="29"/>
      <c r="Y50" s="655"/>
      <c r="Z50" s="660"/>
      <c r="AA50" s="29"/>
      <c r="AB50" s="29"/>
      <c r="AC50" s="538"/>
      <c r="AD50" s="36" t="s">
        <v>34</v>
      </c>
      <c r="AE50" s="36" t="s">
        <v>286</v>
      </c>
      <c r="AF50" s="29">
        <f>3.598*1500+3*150</f>
        <v>5847</v>
      </c>
      <c r="AG50" s="29"/>
      <c r="AH50" s="32"/>
      <c r="AI50" s="175"/>
      <c r="AJ50" s="679"/>
    </row>
    <row r="51" spans="1:38" ht="24.95" customHeight="1" x14ac:dyDescent="0.2">
      <c r="A51" s="534"/>
      <c r="B51" s="521"/>
      <c r="C51" s="613"/>
      <c r="D51" s="520" t="s">
        <v>405</v>
      </c>
      <c r="E51" s="621"/>
      <c r="F51" s="362" t="s">
        <v>406</v>
      </c>
      <c r="G51" s="363"/>
      <c r="H51" s="621"/>
      <c r="I51" s="619"/>
      <c r="J51" s="619"/>
      <c r="K51" s="619"/>
      <c r="L51" s="566">
        <v>584057</v>
      </c>
      <c r="M51" s="564">
        <v>34890</v>
      </c>
      <c r="N51" s="561"/>
      <c r="O51" s="557">
        <v>353641.4</v>
      </c>
      <c r="P51" s="557">
        <v>26190.59</v>
      </c>
      <c r="Q51" s="561"/>
      <c r="R51" s="536">
        <f>O51</f>
        <v>353641.4</v>
      </c>
      <c r="S51" s="536">
        <f>P51</f>
        <v>26190.59</v>
      </c>
      <c r="T51" s="581"/>
      <c r="U51" s="536">
        <f>O51+P51+Q51</f>
        <v>379831.99000000005</v>
      </c>
      <c r="V51" s="554">
        <f>U51</f>
        <v>379831.99000000005</v>
      </c>
      <c r="W51" s="29">
        <v>167280</v>
      </c>
      <c r="X51" s="29">
        <f>W51</f>
        <v>167280</v>
      </c>
      <c r="Y51" s="654">
        <f>V51-X51-X52</f>
        <v>141551.99000000005</v>
      </c>
      <c r="Z51" s="661">
        <f>V51*0.8</f>
        <v>303865.59200000006</v>
      </c>
      <c r="AA51" s="29">
        <v>133824</v>
      </c>
      <c r="AB51" s="29">
        <v>133824</v>
      </c>
      <c r="AC51" s="536">
        <f>Z51-AB51-AB52</f>
        <v>113241.59200000006</v>
      </c>
      <c r="AD51" s="36" t="s">
        <v>34</v>
      </c>
      <c r="AE51" s="36" t="s">
        <v>286</v>
      </c>
      <c r="AF51" s="29">
        <f>2.387*1500+2*150</f>
        <v>3880.5</v>
      </c>
      <c r="AG51" s="32"/>
      <c r="AH51" s="32"/>
      <c r="AI51" s="175"/>
      <c r="AJ51" s="677"/>
      <c r="AK51" s="252">
        <f>AG51/V51</f>
        <v>0</v>
      </c>
      <c r="AL51" s="252">
        <f>AH51/R51/0.8</f>
        <v>0</v>
      </c>
    </row>
    <row r="52" spans="1:38" ht="24.95" customHeight="1" x14ac:dyDescent="0.2">
      <c r="A52" s="534"/>
      <c r="B52" s="521"/>
      <c r="C52" s="613"/>
      <c r="D52" s="522"/>
      <c r="E52" s="621"/>
      <c r="F52" s="364"/>
      <c r="G52" s="363"/>
      <c r="H52" s="621"/>
      <c r="I52" s="619"/>
      <c r="J52" s="619"/>
      <c r="K52" s="619"/>
      <c r="L52" s="567"/>
      <c r="M52" s="565"/>
      <c r="N52" s="563"/>
      <c r="O52" s="559"/>
      <c r="P52" s="559"/>
      <c r="Q52" s="563"/>
      <c r="R52" s="538"/>
      <c r="S52" s="538"/>
      <c r="T52" s="583"/>
      <c r="U52" s="538"/>
      <c r="V52" s="555"/>
      <c r="W52" s="29">
        <v>71000</v>
      </c>
      <c r="X52" s="29">
        <v>71000</v>
      </c>
      <c r="Y52" s="655"/>
      <c r="Z52" s="660"/>
      <c r="AA52" s="29">
        <v>56800</v>
      </c>
      <c r="AB52" s="29">
        <v>56800</v>
      </c>
      <c r="AC52" s="538"/>
      <c r="AD52" s="36"/>
      <c r="AE52" s="36"/>
      <c r="AF52" s="29"/>
      <c r="AG52" s="29"/>
      <c r="AH52" s="29"/>
      <c r="AI52" s="151"/>
      <c r="AJ52" s="679"/>
    </row>
    <row r="53" spans="1:38" ht="24.95" customHeight="1" x14ac:dyDescent="0.2">
      <c r="A53" s="534"/>
      <c r="B53" s="521"/>
      <c r="C53" s="613"/>
      <c r="D53" s="520" t="s">
        <v>407</v>
      </c>
      <c r="E53" s="621"/>
      <c r="F53" s="362" t="s">
        <v>408</v>
      </c>
      <c r="G53" s="363"/>
      <c r="H53" s="621"/>
      <c r="I53" s="619"/>
      <c r="J53" s="619"/>
      <c r="K53" s="619"/>
      <c r="L53" s="557">
        <v>268028.5</v>
      </c>
      <c r="M53" s="557">
        <v>17875</v>
      </c>
      <c r="N53" s="561"/>
      <c r="O53" s="568">
        <f>77575.52*0.87</f>
        <v>67490.702400000009</v>
      </c>
      <c r="P53" s="568">
        <f>77575.52*0.13</f>
        <v>10084.8176</v>
      </c>
      <c r="Q53" s="561"/>
      <c r="R53" s="536">
        <f>O53</f>
        <v>67490.702400000009</v>
      </c>
      <c r="S53" s="536">
        <f>P53</f>
        <v>10084.8176</v>
      </c>
      <c r="T53" s="581"/>
      <c r="U53" s="536">
        <f>R53+S53+T53</f>
        <v>77575.520000000004</v>
      </c>
      <c r="V53" s="554">
        <f>U53</f>
        <v>77575.520000000004</v>
      </c>
      <c r="W53" s="29">
        <v>76621.41</v>
      </c>
      <c r="X53" s="29">
        <f>W53</f>
        <v>76621.41</v>
      </c>
      <c r="Y53" s="654">
        <f>V53-X53</f>
        <v>954.11000000000058</v>
      </c>
      <c r="Z53" s="663">
        <f>V53*0.8</f>
        <v>62060.416000000005</v>
      </c>
      <c r="AA53" s="29"/>
      <c r="AB53" s="29"/>
      <c r="AC53" s="536">
        <f>Z53-AB53</f>
        <v>62060.416000000005</v>
      </c>
      <c r="AD53" s="36" t="s">
        <v>324</v>
      </c>
      <c r="AE53" s="36" t="s">
        <v>286</v>
      </c>
      <c r="AF53" s="29">
        <f>0.45*1500+2*150</f>
        <v>975</v>
      </c>
      <c r="AG53" s="29"/>
      <c r="AH53" s="29"/>
      <c r="AI53" s="151">
        <f>Z53-AF53-AG53-AH53</f>
        <v>61085.416000000005</v>
      </c>
      <c r="AJ53" s="680" t="s">
        <v>409</v>
      </c>
      <c r="AK53" s="252">
        <f>AG53/V53</f>
        <v>0</v>
      </c>
      <c r="AL53" s="252">
        <f>AH53/R53/0.8</f>
        <v>0</v>
      </c>
    </row>
    <row r="54" spans="1:38" ht="24.95" customHeight="1" x14ac:dyDescent="0.2">
      <c r="A54" s="534"/>
      <c r="B54" s="521"/>
      <c r="C54" s="614"/>
      <c r="D54" s="522"/>
      <c r="E54" s="621"/>
      <c r="F54" s="364"/>
      <c r="G54" s="363"/>
      <c r="H54" s="621"/>
      <c r="I54" s="619"/>
      <c r="J54" s="619"/>
      <c r="K54" s="619"/>
      <c r="L54" s="559"/>
      <c r="M54" s="559"/>
      <c r="N54" s="563"/>
      <c r="O54" s="569"/>
      <c r="P54" s="569"/>
      <c r="Q54" s="563"/>
      <c r="R54" s="538"/>
      <c r="S54" s="538"/>
      <c r="T54" s="583"/>
      <c r="U54" s="538"/>
      <c r="V54" s="555"/>
      <c r="W54" s="30"/>
      <c r="X54" s="30"/>
      <c r="Y54" s="655"/>
      <c r="Z54" s="665"/>
      <c r="AA54" s="29"/>
      <c r="AB54" s="29"/>
      <c r="AC54" s="538"/>
      <c r="AD54" s="95"/>
      <c r="AE54" s="95"/>
      <c r="AF54" s="30"/>
      <c r="AG54" s="30"/>
      <c r="AH54" s="30"/>
      <c r="AI54" s="154"/>
      <c r="AJ54" s="681"/>
    </row>
    <row r="55" spans="1:38" ht="24.95" customHeight="1" x14ac:dyDescent="0.2">
      <c r="A55" s="534"/>
      <c r="B55" s="521"/>
      <c r="C55" s="615" t="s">
        <v>282</v>
      </c>
      <c r="D55" s="520" t="s">
        <v>410</v>
      </c>
      <c r="E55" s="621"/>
      <c r="F55" s="362" t="s">
        <v>411</v>
      </c>
      <c r="G55" s="363"/>
      <c r="H55" s="621"/>
      <c r="I55" s="619"/>
      <c r="J55" s="619"/>
      <c r="K55" s="619"/>
      <c r="L55" s="641">
        <v>411503.2</v>
      </c>
      <c r="M55" s="557">
        <v>38486</v>
      </c>
      <c r="N55" s="643"/>
      <c r="O55" s="568">
        <f>138528.09*0.85</f>
        <v>117748.8765</v>
      </c>
      <c r="P55" s="568">
        <f>138528.09*0.15</f>
        <v>20779.213499999998</v>
      </c>
      <c r="Q55" s="643"/>
      <c r="R55" s="536">
        <f>O55</f>
        <v>117748.8765</v>
      </c>
      <c r="S55" s="536">
        <f>P55</f>
        <v>20779.213499999998</v>
      </c>
      <c r="T55" s="651"/>
      <c r="U55" s="536">
        <f t="shared" ref="U55:U61" si="4">R55+S55+T55</f>
        <v>138528.09</v>
      </c>
      <c r="V55" s="554">
        <f t="shared" ref="V55:V61" si="5">U55</f>
        <v>138528.09</v>
      </c>
      <c r="W55" s="30">
        <v>50748</v>
      </c>
      <c r="X55" s="30">
        <f>W55</f>
        <v>50748</v>
      </c>
      <c r="Y55" s="654">
        <f>V55-X55-X56</f>
        <v>59787.25</v>
      </c>
      <c r="Z55" s="663">
        <f t="shared" ref="Z55:Z64" si="6">V55*0.8</f>
        <v>110822.47200000001</v>
      </c>
      <c r="AA55" s="29">
        <f>X55*0.8</f>
        <v>40598.400000000001</v>
      </c>
      <c r="AB55" s="29">
        <f>AA55</f>
        <v>40598.400000000001</v>
      </c>
      <c r="AC55" s="536">
        <f>Z55-AB55-AB56-AB57</f>
        <v>47829.800000000017</v>
      </c>
      <c r="AD55" s="668" t="s">
        <v>324</v>
      </c>
      <c r="AE55" s="668" t="s">
        <v>286</v>
      </c>
      <c r="AF55" s="536">
        <f>1.9*1500+4*150</f>
        <v>3450</v>
      </c>
      <c r="AG55" s="536">
        <f>11912.68+7624.11</f>
        <v>19536.79</v>
      </c>
      <c r="AH55" s="536">
        <f>7624.11</f>
        <v>7624.11</v>
      </c>
      <c r="AI55" s="672">
        <f>Z55-AF55-AG55-AH55</f>
        <v>80211.572</v>
      </c>
      <c r="AJ55" s="676"/>
      <c r="AK55" s="252">
        <f>AG55/V55</f>
        <v>0.14103125221751056</v>
      </c>
      <c r="AL55" s="252">
        <f>AH55/R55/0.8</f>
        <v>8.0936122562494259E-2</v>
      </c>
    </row>
    <row r="56" spans="1:38" ht="24.95" customHeight="1" x14ac:dyDescent="0.2">
      <c r="A56" s="534"/>
      <c r="B56" s="521"/>
      <c r="C56" s="615"/>
      <c r="D56" s="521"/>
      <c r="E56" s="621"/>
      <c r="F56" s="363"/>
      <c r="G56" s="363"/>
      <c r="H56" s="621"/>
      <c r="I56" s="619"/>
      <c r="J56" s="619"/>
      <c r="K56" s="619"/>
      <c r="L56" s="642"/>
      <c r="M56" s="558"/>
      <c r="N56" s="689"/>
      <c r="O56" s="648"/>
      <c r="P56" s="648"/>
      <c r="Q56" s="689"/>
      <c r="R56" s="537"/>
      <c r="S56" s="537"/>
      <c r="T56" s="690"/>
      <c r="U56" s="537"/>
      <c r="V56" s="556"/>
      <c r="W56" s="29">
        <f>32646.01-4653.17</f>
        <v>27992.839999999997</v>
      </c>
      <c r="X56" s="29">
        <f>W56</f>
        <v>27992.839999999997</v>
      </c>
      <c r="Y56" s="656"/>
      <c r="Z56" s="664"/>
      <c r="AA56" s="29">
        <f>X56*0.8</f>
        <v>22394.271999999997</v>
      </c>
      <c r="AB56" s="29">
        <f>AA56</f>
        <v>22394.271999999997</v>
      </c>
      <c r="AC56" s="537"/>
      <c r="AD56" s="669"/>
      <c r="AE56" s="669"/>
      <c r="AF56" s="537"/>
      <c r="AG56" s="537"/>
      <c r="AH56" s="537"/>
      <c r="AI56" s="673"/>
      <c r="AJ56" s="676"/>
    </row>
    <row r="57" spans="1:38" ht="24.95" customHeight="1" x14ac:dyDescent="0.2">
      <c r="A57" s="534"/>
      <c r="B57" s="521"/>
      <c r="C57" s="615"/>
      <c r="D57" s="522"/>
      <c r="E57" s="621"/>
      <c r="F57" s="364"/>
      <c r="G57" s="363"/>
      <c r="H57" s="621"/>
      <c r="I57" s="619"/>
      <c r="J57" s="619"/>
      <c r="K57" s="619"/>
      <c r="L57" s="636"/>
      <c r="M57" s="559"/>
      <c r="N57" s="644"/>
      <c r="O57" s="569"/>
      <c r="P57" s="569"/>
      <c r="Q57" s="644"/>
      <c r="R57" s="538"/>
      <c r="S57" s="538"/>
      <c r="T57" s="652"/>
      <c r="U57" s="538"/>
      <c r="V57" s="555"/>
      <c r="W57" s="11"/>
      <c r="X57" s="11"/>
      <c r="Y57" s="655"/>
      <c r="Z57" s="665"/>
      <c r="AA57" s="29"/>
      <c r="AB57" s="29"/>
      <c r="AC57" s="538"/>
      <c r="AD57" s="670"/>
      <c r="AE57" s="670"/>
      <c r="AF57" s="538"/>
      <c r="AG57" s="538"/>
      <c r="AH57" s="538"/>
      <c r="AI57" s="674"/>
      <c r="AJ57" s="676"/>
    </row>
    <row r="58" spans="1:38" ht="24.95" customHeight="1" x14ac:dyDescent="0.2">
      <c r="A58" s="534"/>
      <c r="B58" s="521"/>
      <c r="C58" s="615"/>
      <c r="D58" s="520" t="s">
        <v>412</v>
      </c>
      <c r="E58" s="621"/>
      <c r="F58" s="362" t="s">
        <v>413</v>
      </c>
      <c r="G58" s="363"/>
      <c r="H58" s="621"/>
      <c r="I58" s="619"/>
      <c r="J58" s="619"/>
      <c r="K58" s="619"/>
      <c r="L58" s="641">
        <v>597242.5</v>
      </c>
      <c r="M58" s="557">
        <v>65079</v>
      </c>
      <c r="N58" s="561"/>
      <c r="O58" s="568">
        <f>178887*0.81</f>
        <v>144898.47</v>
      </c>
      <c r="P58" s="568">
        <f>178887*0.19</f>
        <v>33988.53</v>
      </c>
      <c r="Q58" s="561"/>
      <c r="R58" s="536">
        <f>O58</f>
        <v>144898.47</v>
      </c>
      <c r="S58" s="536">
        <f>P58</f>
        <v>33988.53</v>
      </c>
      <c r="T58" s="581"/>
      <c r="U58" s="536">
        <f>R58+S58+T59</f>
        <v>178887</v>
      </c>
      <c r="V58" s="554">
        <f>U58</f>
        <v>178887</v>
      </c>
      <c r="W58" s="30">
        <v>78720</v>
      </c>
      <c r="X58" s="30">
        <f>W58</f>
        <v>78720</v>
      </c>
      <c r="Y58" s="654">
        <f>V58-X59-X58</f>
        <v>100167</v>
      </c>
      <c r="Z58" s="663">
        <f>V58*0.8</f>
        <v>143109.6</v>
      </c>
      <c r="AA58" s="29"/>
      <c r="AB58" s="29"/>
      <c r="AC58" s="536">
        <f>Z58-AB59</f>
        <v>143109.6</v>
      </c>
      <c r="AD58" s="38"/>
      <c r="AE58" s="38"/>
      <c r="AF58" s="31"/>
      <c r="AG58" s="31"/>
      <c r="AH58" s="31"/>
      <c r="AI58" s="155"/>
      <c r="AJ58" s="676"/>
      <c r="AK58" s="252">
        <f>AG58/V58</f>
        <v>0</v>
      </c>
      <c r="AL58" s="252">
        <f>AH58/R58/0.8</f>
        <v>0</v>
      </c>
    </row>
    <row r="59" spans="1:38" ht="24.95" customHeight="1" x14ac:dyDescent="0.2">
      <c r="A59" s="534"/>
      <c r="B59" s="521"/>
      <c r="C59" s="615"/>
      <c r="D59" s="522"/>
      <c r="E59" s="621"/>
      <c r="F59" s="364"/>
      <c r="G59" s="363"/>
      <c r="H59" s="621"/>
      <c r="I59" s="619"/>
      <c r="J59" s="619"/>
      <c r="K59" s="619"/>
      <c r="L59" s="636"/>
      <c r="M59" s="559"/>
      <c r="N59" s="563"/>
      <c r="O59" s="569"/>
      <c r="P59" s="569"/>
      <c r="Q59" s="563"/>
      <c r="R59" s="538"/>
      <c r="S59" s="538"/>
      <c r="T59" s="583"/>
      <c r="U59" s="538"/>
      <c r="V59" s="555"/>
      <c r="W59" s="30"/>
      <c r="X59" s="30"/>
      <c r="Y59" s="655"/>
      <c r="Z59" s="665"/>
      <c r="AA59" s="29"/>
      <c r="AB59" s="29"/>
      <c r="AC59" s="538"/>
      <c r="AD59" s="36" t="s">
        <v>324</v>
      </c>
      <c r="AE59" s="36" t="s">
        <v>286</v>
      </c>
      <c r="AF59" s="29">
        <f>4.1*1500+4*150</f>
        <v>6749.9999999999991</v>
      </c>
      <c r="AG59" s="29"/>
      <c r="AH59" s="29"/>
      <c r="AI59" s="151">
        <f>Z58-AF59-AG59-AH59</f>
        <v>136359.6</v>
      </c>
      <c r="AJ59" s="676"/>
    </row>
    <row r="60" spans="1:38" ht="24.95" customHeight="1" x14ac:dyDescent="0.2">
      <c r="A60" s="534"/>
      <c r="B60" s="521"/>
      <c r="C60" s="612" t="s">
        <v>414</v>
      </c>
      <c r="D60" s="294" t="s">
        <v>415</v>
      </c>
      <c r="E60" s="621"/>
      <c r="F60" s="12" t="s">
        <v>416</v>
      </c>
      <c r="G60" s="363"/>
      <c r="H60" s="621"/>
      <c r="I60" s="619"/>
      <c r="J60" s="619"/>
      <c r="K60" s="619"/>
      <c r="L60" s="58">
        <v>129866.8</v>
      </c>
      <c r="M60" s="22">
        <v>21235</v>
      </c>
      <c r="N60" s="21"/>
      <c r="O60" s="81"/>
      <c r="P60" s="81">
        <v>0</v>
      </c>
      <c r="Q60" s="83"/>
      <c r="R60" s="29">
        <v>61970.38</v>
      </c>
      <c r="S60" s="29">
        <f>P60</f>
        <v>0</v>
      </c>
      <c r="T60" s="32"/>
      <c r="U60" s="29">
        <f t="shared" si="4"/>
        <v>61970.38</v>
      </c>
      <c r="V60" s="168">
        <f t="shared" si="5"/>
        <v>61970.38</v>
      </c>
      <c r="W60" s="29"/>
      <c r="X60" s="29"/>
      <c r="Y60" s="61">
        <f>V60-X60</f>
        <v>61970.38</v>
      </c>
      <c r="Z60" s="162">
        <f t="shared" si="6"/>
        <v>49576.304000000004</v>
      </c>
      <c r="AA60" s="29"/>
      <c r="AB60" s="29"/>
      <c r="AC60" s="29">
        <f>Z60-AB60</f>
        <v>49576.304000000004</v>
      </c>
      <c r="AD60" s="36" t="s">
        <v>324</v>
      </c>
      <c r="AE60" s="36" t="s">
        <v>286</v>
      </c>
      <c r="AF60" s="29">
        <f>0.8*1500+2*150</f>
        <v>1500</v>
      </c>
      <c r="AG60" s="29"/>
      <c r="AH60" s="29"/>
      <c r="AI60" s="151">
        <f>Z60-AF60-AG60-AH60</f>
        <v>48076.304000000004</v>
      </c>
      <c r="AJ60" s="239"/>
    </row>
    <row r="61" spans="1:38" ht="24.95" customHeight="1" x14ac:dyDescent="0.2">
      <c r="A61" s="534"/>
      <c r="B61" s="521"/>
      <c r="C61" s="613"/>
      <c r="D61" s="520" t="s">
        <v>417</v>
      </c>
      <c r="E61" s="621"/>
      <c r="F61" s="362" t="s">
        <v>418</v>
      </c>
      <c r="G61" s="363"/>
      <c r="H61" s="621"/>
      <c r="I61" s="619"/>
      <c r="J61" s="619"/>
      <c r="K61" s="619"/>
      <c r="L61" s="641">
        <v>149223.4</v>
      </c>
      <c r="M61" s="557">
        <v>21894</v>
      </c>
      <c r="N61" s="21"/>
      <c r="O61" s="568">
        <f>42714.01*0.78</f>
        <v>33316.927800000005</v>
      </c>
      <c r="P61" s="568">
        <f>42714.01*0.22</f>
        <v>9397.0822000000007</v>
      </c>
      <c r="Q61" s="83"/>
      <c r="R61" s="536">
        <f>O61</f>
        <v>33316.927800000005</v>
      </c>
      <c r="S61" s="536">
        <f>P61</f>
        <v>9397.0822000000007</v>
      </c>
      <c r="T61" s="32"/>
      <c r="U61" s="536">
        <f t="shared" si="4"/>
        <v>42714.010000000009</v>
      </c>
      <c r="V61" s="554">
        <f t="shared" si="5"/>
        <v>42714.010000000009</v>
      </c>
      <c r="W61" s="30">
        <v>38060.839999999997</v>
      </c>
      <c r="X61" s="30">
        <f>W61</f>
        <v>38060.839999999997</v>
      </c>
      <c r="Y61" s="654">
        <f>V61-X61-X62</f>
        <v>1.2732925824820995E-11</v>
      </c>
      <c r="Z61" s="663">
        <f t="shared" si="6"/>
        <v>34171.208000000006</v>
      </c>
      <c r="AA61" s="29">
        <f>W61*0.8</f>
        <v>30448.671999999999</v>
      </c>
      <c r="AB61" s="29">
        <f>X61*0.8</f>
        <v>30448.671999999999</v>
      </c>
      <c r="AC61" s="536">
        <f>Z61-AB61-AB62</f>
        <v>7.2759576141834259E-12</v>
      </c>
      <c r="AD61" s="668" t="s">
        <v>324</v>
      </c>
      <c r="AE61" s="668" t="s">
        <v>286</v>
      </c>
      <c r="AF61" s="536">
        <f>1.15*1500+0*150</f>
        <v>1724.9999999999998</v>
      </c>
      <c r="AG61" s="536">
        <f>9515.21</f>
        <v>9515.2099999999991</v>
      </c>
      <c r="AH61" s="536">
        <f>6089.73</f>
        <v>6089.73</v>
      </c>
      <c r="AI61" s="672">
        <f>Z61-AF61-AG61-AH61</f>
        <v>16841.268000000007</v>
      </c>
      <c r="AJ61" s="676"/>
      <c r="AK61" s="252">
        <f>AG61/V61</f>
        <v>0.2227655516304837</v>
      </c>
      <c r="AL61" s="252">
        <f>AH61/R61/0.8</f>
        <v>0.22847732377053079</v>
      </c>
    </row>
    <row r="62" spans="1:38" ht="24.95" customHeight="1" x14ac:dyDescent="0.2">
      <c r="A62" s="534"/>
      <c r="B62" s="521"/>
      <c r="C62" s="614"/>
      <c r="D62" s="522"/>
      <c r="E62" s="621"/>
      <c r="F62" s="364"/>
      <c r="G62" s="363"/>
      <c r="H62" s="621"/>
      <c r="I62" s="619"/>
      <c r="J62" s="619"/>
      <c r="K62" s="619"/>
      <c r="L62" s="636"/>
      <c r="M62" s="559"/>
      <c r="N62" s="21"/>
      <c r="O62" s="569"/>
      <c r="P62" s="569"/>
      <c r="Q62" s="83"/>
      <c r="R62" s="538"/>
      <c r="S62" s="538"/>
      <c r="T62" s="32"/>
      <c r="U62" s="538"/>
      <c r="V62" s="555"/>
      <c r="W62" s="29">
        <v>4653.17</v>
      </c>
      <c r="X62" s="29">
        <f>W62</f>
        <v>4653.17</v>
      </c>
      <c r="Y62" s="655"/>
      <c r="Z62" s="665"/>
      <c r="AA62" s="29">
        <f>W62*0.8</f>
        <v>3722.5360000000001</v>
      </c>
      <c r="AB62" s="29">
        <f>X62*0.8</f>
        <v>3722.5360000000001</v>
      </c>
      <c r="AC62" s="538"/>
      <c r="AD62" s="670"/>
      <c r="AE62" s="670"/>
      <c r="AF62" s="538"/>
      <c r="AG62" s="538"/>
      <c r="AH62" s="538"/>
      <c r="AI62" s="674"/>
      <c r="AJ62" s="676"/>
    </row>
    <row r="63" spans="1:38" ht="24.95" customHeight="1" x14ac:dyDescent="0.2">
      <c r="A63" s="534"/>
      <c r="B63" s="521"/>
      <c r="C63" s="295">
        <v>2020.5</v>
      </c>
      <c r="D63" s="294" t="s">
        <v>419</v>
      </c>
      <c r="E63" s="621"/>
      <c r="F63" s="12" t="s">
        <v>420</v>
      </c>
      <c r="G63" s="363"/>
      <c r="H63" s="621"/>
      <c r="I63" s="619"/>
      <c r="J63" s="619"/>
      <c r="K63" s="619"/>
      <c r="L63" s="58">
        <v>102906.3</v>
      </c>
      <c r="M63" s="22">
        <v>18838</v>
      </c>
      <c r="N63" s="21"/>
      <c r="O63" s="81"/>
      <c r="P63" s="81">
        <v>0</v>
      </c>
      <c r="Q63" s="83"/>
      <c r="R63" s="29">
        <f t="shared" ref="R63:S67" si="7">O63</f>
        <v>0</v>
      </c>
      <c r="S63" s="29">
        <f t="shared" si="7"/>
        <v>0</v>
      </c>
      <c r="T63" s="32"/>
      <c r="U63" s="29"/>
      <c r="V63" s="168"/>
      <c r="W63" s="29"/>
      <c r="X63" s="29"/>
      <c r="Y63" s="61"/>
      <c r="Z63" s="162">
        <f t="shared" si="6"/>
        <v>0</v>
      </c>
      <c r="AA63" s="29"/>
      <c r="AB63" s="29"/>
      <c r="AC63" s="32"/>
      <c r="AD63" s="36" t="s">
        <v>324</v>
      </c>
      <c r="AE63" s="36" t="s">
        <v>286</v>
      </c>
      <c r="AF63" s="29">
        <f>0.8*1500+0*150</f>
        <v>1200</v>
      </c>
      <c r="AG63" s="29"/>
      <c r="AH63" s="29"/>
      <c r="AI63" s="151"/>
      <c r="AJ63" s="239"/>
      <c r="AK63" s="252" t="e">
        <f t="shared" ref="AK63:AK69" si="8">AG63/V63</f>
        <v>#DIV/0!</v>
      </c>
      <c r="AL63" s="252" t="e">
        <f t="shared" ref="AL63:AL69" si="9">AH63/R63/0.8</f>
        <v>#DIV/0!</v>
      </c>
    </row>
    <row r="64" spans="1:38" ht="24.95" customHeight="1" x14ac:dyDescent="0.2">
      <c r="A64" s="535"/>
      <c r="B64" s="522"/>
      <c r="C64" s="295">
        <v>2020.5</v>
      </c>
      <c r="D64" s="294" t="s">
        <v>421</v>
      </c>
      <c r="E64" s="463"/>
      <c r="F64" s="12" t="s">
        <v>422</v>
      </c>
      <c r="G64" s="364"/>
      <c r="H64" s="463"/>
      <c r="I64" s="468"/>
      <c r="J64" s="468"/>
      <c r="K64" s="468"/>
      <c r="L64" s="58">
        <v>66270.17</v>
      </c>
      <c r="M64" s="58">
        <v>16579</v>
      </c>
      <c r="N64" s="21"/>
      <c r="O64" s="81"/>
      <c r="P64" s="81">
        <v>0</v>
      </c>
      <c r="Q64" s="83"/>
      <c r="R64" s="29">
        <f t="shared" si="7"/>
        <v>0</v>
      </c>
      <c r="S64" s="29">
        <f t="shared" si="7"/>
        <v>0</v>
      </c>
      <c r="T64" s="32"/>
      <c r="U64" s="29"/>
      <c r="V64" s="168"/>
      <c r="W64" s="29"/>
      <c r="X64" s="29"/>
      <c r="Y64" s="61"/>
      <c r="Z64" s="162">
        <f t="shared" si="6"/>
        <v>0</v>
      </c>
      <c r="AA64" s="29"/>
      <c r="AB64" s="29"/>
      <c r="AC64" s="32"/>
      <c r="AD64" s="36" t="s">
        <v>324</v>
      </c>
      <c r="AE64" s="36" t="s">
        <v>286</v>
      </c>
      <c r="AF64" s="29">
        <f>0.2*1500+0*150</f>
        <v>300</v>
      </c>
      <c r="AG64" s="29"/>
      <c r="AH64" s="29"/>
      <c r="AI64" s="151"/>
      <c r="AJ64" s="239"/>
      <c r="AK64" s="252" t="e">
        <f t="shared" si="8"/>
        <v>#DIV/0!</v>
      </c>
      <c r="AL64" s="252" t="e">
        <f t="shared" si="9"/>
        <v>#DIV/0!</v>
      </c>
    </row>
    <row r="65" spans="1:38" ht="24.95" customHeight="1" x14ac:dyDescent="0.2">
      <c r="A65" s="533">
        <v>29</v>
      </c>
      <c r="B65" s="520" t="s">
        <v>744</v>
      </c>
      <c r="C65" s="612" t="s">
        <v>424</v>
      </c>
      <c r="D65" s="294" t="s">
        <v>745</v>
      </c>
      <c r="E65" s="620" t="s">
        <v>222</v>
      </c>
      <c r="F65" s="12" t="s">
        <v>425</v>
      </c>
      <c r="G65" s="362" t="s">
        <v>47</v>
      </c>
      <c r="H65" s="620" t="s">
        <v>48</v>
      </c>
      <c r="I65" s="469" t="s">
        <v>49</v>
      </c>
      <c r="J65" s="469" t="s">
        <v>32</v>
      </c>
      <c r="K65" s="469" t="s">
        <v>32</v>
      </c>
      <c r="L65" s="58">
        <v>135959</v>
      </c>
      <c r="M65" s="22">
        <v>20224</v>
      </c>
      <c r="N65" s="21"/>
      <c r="O65" s="22">
        <v>108094</v>
      </c>
      <c r="P65" s="22">
        <v>20022</v>
      </c>
      <c r="Q65" s="21"/>
      <c r="R65" s="29">
        <f t="shared" si="7"/>
        <v>108094</v>
      </c>
      <c r="S65" s="29">
        <f t="shared" si="7"/>
        <v>20022</v>
      </c>
      <c r="T65" s="32"/>
      <c r="U65" s="29">
        <f>R65+S65+T65</f>
        <v>128116</v>
      </c>
      <c r="V65" s="168">
        <f>U65</f>
        <v>128116</v>
      </c>
      <c r="W65" s="29">
        <v>128116</v>
      </c>
      <c r="X65" s="29">
        <f>W65</f>
        <v>128116</v>
      </c>
      <c r="Y65" s="29">
        <f>V65-X65</f>
        <v>0</v>
      </c>
      <c r="Z65" s="150">
        <f>V65*0.8</f>
        <v>102492.8</v>
      </c>
      <c r="AA65" s="29"/>
      <c r="AB65" s="29"/>
      <c r="AC65" s="32"/>
      <c r="AD65" s="36" t="s">
        <v>324</v>
      </c>
      <c r="AE65" s="36" t="s">
        <v>286</v>
      </c>
      <c r="AF65" s="29">
        <f>2.8*1500+4*150</f>
        <v>4800</v>
      </c>
      <c r="AG65" s="29"/>
      <c r="AH65" s="256"/>
      <c r="AI65" s="151">
        <f>Z65-AF65-AG65-AH65</f>
        <v>97692.800000000003</v>
      </c>
      <c r="AJ65" s="44" t="s">
        <v>742</v>
      </c>
      <c r="AK65" s="252">
        <f t="shared" si="8"/>
        <v>0</v>
      </c>
      <c r="AL65" s="252">
        <f t="shared" si="9"/>
        <v>0</v>
      </c>
    </row>
    <row r="66" spans="1:38" ht="24.95" customHeight="1" x14ac:dyDescent="0.2">
      <c r="A66" s="534"/>
      <c r="B66" s="521"/>
      <c r="C66" s="613"/>
      <c r="D66" s="294" t="s">
        <v>426</v>
      </c>
      <c r="E66" s="621"/>
      <c r="F66" s="12" t="s">
        <v>427</v>
      </c>
      <c r="G66" s="363"/>
      <c r="H66" s="621"/>
      <c r="I66" s="619"/>
      <c r="J66" s="619"/>
      <c r="K66" s="619"/>
      <c r="L66" s="58">
        <v>25331</v>
      </c>
      <c r="M66" s="58">
        <v>7968</v>
      </c>
      <c r="N66" s="21"/>
      <c r="O66" s="22">
        <v>21274</v>
      </c>
      <c r="P66" s="22">
        <v>7888</v>
      </c>
      <c r="Q66" s="21"/>
      <c r="R66" s="29">
        <f t="shared" si="7"/>
        <v>21274</v>
      </c>
      <c r="S66" s="29">
        <f t="shared" si="7"/>
        <v>7888</v>
      </c>
      <c r="T66" s="32"/>
      <c r="U66" s="29">
        <f t="shared" ref="U66:U67" si="10">R66+S66+T66</f>
        <v>29162</v>
      </c>
      <c r="V66" s="168">
        <f t="shared" ref="V66:V67" si="11">U66</f>
        <v>29162</v>
      </c>
      <c r="W66" s="29">
        <f>V66</f>
        <v>29162</v>
      </c>
      <c r="X66" s="29">
        <f>W66</f>
        <v>29162</v>
      </c>
      <c r="Y66" s="29">
        <f>V66-X66</f>
        <v>0</v>
      </c>
      <c r="Z66" s="150">
        <f t="shared" ref="Z66:Z67" si="12">V66*0.8</f>
        <v>23329.600000000002</v>
      </c>
      <c r="AA66" s="29"/>
      <c r="AB66" s="29"/>
      <c r="AC66" s="32"/>
      <c r="AD66" s="36" t="s">
        <v>324</v>
      </c>
      <c r="AE66" s="36" t="s">
        <v>286</v>
      </c>
      <c r="AF66" s="29">
        <f>0.996*1500+2*150</f>
        <v>1794</v>
      </c>
      <c r="AG66" s="29"/>
      <c r="AH66" s="29"/>
      <c r="AI66" s="151">
        <f>Z66-AF66-AG66-AH66</f>
        <v>21535.600000000002</v>
      </c>
      <c r="AJ66" s="78" t="s">
        <v>741</v>
      </c>
      <c r="AK66" s="252">
        <f t="shared" si="8"/>
        <v>0</v>
      </c>
      <c r="AL66" s="252">
        <f t="shared" si="9"/>
        <v>0</v>
      </c>
    </row>
    <row r="67" spans="1:38" ht="24.95" customHeight="1" x14ac:dyDescent="0.2">
      <c r="A67" s="534"/>
      <c r="B67" s="521"/>
      <c r="C67" s="613"/>
      <c r="D67" s="294" t="s">
        <v>428</v>
      </c>
      <c r="E67" s="621"/>
      <c r="F67" s="12" t="s">
        <v>429</v>
      </c>
      <c r="G67" s="363"/>
      <c r="H67" s="621"/>
      <c r="I67" s="619"/>
      <c r="J67" s="619"/>
      <c r="K67" s="619"/>
      <c r="L67" s="58">
        <v>16329</v>
      </c>
      <c r="M67" s="58">
        <v>4312</v>
      </c>
      <c r="N67" s="21"/>
      <c r="O67" s="22">
        <v>13401</v>
      </c>
      <c r="P67" s="22">
        <v>4269</v>
      </c>
      <c r="Q67" s="21"/>
      <c r="R67" s="29">
        <f t="shared" si="7"/>
        <v>13401</v>
      </c>
      <c r="S67" s="29">
        <f t="shared" si="7"/>
        <v>4269</v>
      </c>
      <c r="T67" s="32"/>
      <c r="U67" s="29">
        <f t="shared" si="10"/>
        <v>17670</v>
      </c>
      <c r="V67" s="168">
        <f t="shared" si="11"/>
        <v>17670</v>
      </c>
      <c r="W67" s="29">
        <f>V67</f>
        <v>17670</v>
      </c>
      <c r="X67" s="29">
        <f>W67</f>
        <v>17670</v>
      </c>
      <c r="Y67" s="29">
        <f>V67-X67</f>
        <v>0</v>
      </c>
      <c r="Z67" s="150">
        <f t="shared" si="12"/>
        <v>14136</v>
      </c>
      <c r="AA67" s="29"/>
      <c r="AB67" s="29"/>
      <c r="AC67" s="32"/>
      <c r="AD67" s="36" t="s">
        <v>324</v>
      </c>
      <c r="AE67" s="36" t="s">
        <v>286</v>
      </c>
      <c r="AF67" s="29">
        <f>0.539*1500+4*150</f>
        <v>1408.5</v>
      </c>
      <c r="AG67" s="29"/>
      <c r="AH67" s="29"/>
      <c r="AI67" s="151">
        <f>Z67-AF67-AG67-AH67</f>
        <v>12727.5</v>
      </c>
      <c r="AJ67" s="78"/>
      <c r="AK67" s="252">
        <f t="shared" si="8"/>
        <v>0</v>
      </c>
      <c r="AL67" s="252">
        <f t="shared" si="9"/>
        <v>0</v>
      </c>
    </row>
    <row r="68" spans="1:38" ht="24.95" customHeight="1" x14ac:dyDescent="0.2">
      <c r="A68" s="534"/>
      <c r="B68" s="521"/>
      <c r="C68" s="297">
        <v>2020.4</v>
      </c>
      <c r="D68" s="296" t="s">
        <v>430</v>
      </c>
      <c r="E68" s="97" t="s">
        <v>337</v>
      </c>
      <c r="F68" s="12" t="s">
        <v>431</v>
      </c>
      <c r="G68" s="363"/>
      <c r="H68" s="621"/>
      <c r="I68" s="619"/>
      <c r="J68" s="619"/>
      <c r="K68" s="619"/>
      <c r="L68" s="56"/>
      <c r="M68" s="24"/>
      <c r="N68" s="24"/>
      <c r="O68" s="24"/>
      <c r="P68" s="24"/>
      <c r="Q68" s="24"/>
      <c r="R68" s="30"/>
      <c r="S68" s="30"/>
      <c r="T68" s="30"/>
      <c r="U68" s="30"/>
      <c r="V68" s="167"/>
      <c r="W68" s="30"/>
      <c r="X68" s="30"/>
      <c r="Y68" s="29"/>
      <c r="Z68" s="158"/>
      <c r="AA68" s="29"/>
      <c r="AB68" s="29"/>
      <c r="AC68" s="30"/>
      <c r="AD68" s="36" t="s">
        <v>324</v>
      </c>
      <c r="AE68" s="36" t="s">
        <v>286</v>
      </c>
      <c r="AF68" s="29">
        <f>2.6*1500+0*150</f>
        <v>3900</v>
      </c>
      <c r="AG68" s="30"/>
      <c r="AH68" s="30"/>
      <c r="AI68" s="154"/>
      <c r="AJ68" s="78"/>
      <c r="AK68" s="252" t="e">
        <f t="shared" si="8"/>
        <v>#DIV/0!</v>
      </c>
      <c r="AL68" s="252" t="e">
        <f t="shared" si="9"/>
        <v>#DIV/0!</v>
      </c>
    </row>
    <row r="69" spans="1:38" ht="24.95" customHeight="1" x14ac:dyDescent="0.2">
      <c r="A69" s="533">
        <v>30</v>
      </c>
      <c r="B69" s="520" t="s">
        <v>432</v>
      </c>
      <c r="C69" s="520">
        <v>2017.4</v>
      </c>
      <c r="D69" s="520" t="s">
        <v>433</v>
      </c>
      <c r="E69" s="620" t="s">
        <v>222</v>
      </c>
      <c r="F69" s="362" t="s">
        <v>55</v>
      </c>
      <c r="G69" s="362" t="s">
        <v>56</v>
      </c>
      <c r="H69" s="620" t="s">
        <v>57</v>
      </c>
      <c r="I69" s="469" t="s">
        <v>58</v>
      </c>
      <c r="J69" s="469" t="s">
        <v>33</v>
      </c>
      <c r="K69" s="469" t="s">
        <v>33</v>
      </c>
      <c r="L69" s="557">
        <v>199017</v>
      </c>
      <c r="M69" s="557">
        <v>48000</v>
      </c>
      <c r="N69" s="578"/>
      <c r="O69" s="557">
        <f>L69</f>
        <v>199017</v>
      </c>
      <c r="P69" s="557">
        <f>M69</f>
        <v>48000</v>
      </c>
      <c r="Q69" s="578"/>
      <c r="R69" s="536">
        <f>O69</f>
        <v>199017</v>
      </c>
      <c r="S69" s="536">
        <f>P69</f>
        <v>48000</v>
      </c>
      <c r="T69" s="581"/>
      <c r="U69" s="536">
        <f>R69+S69+T69</f>
        <v>247017</v>
      </c>
      <c r="V69" s="554">
        <f>U69</f>
        <v>247017</v>
      </c>
      <c r="W69" s="536">
        <f>V69</f>
        <v>247017</v>
      </c>
      <c r="X69" s="536">
        <f>W69</f>
        <v>247017</v>
      </c>
      <c r="Y69" s="518">
        <f>V69-X69</f>
        <v>0</v>
      </c>
      <c r="Z69" s="661">
        <f>V69*0.8</f>
        <v>197613.6</v>
      </c>
      <c r="AA69" s="29">
        <v>197613.6</v>
      </c>
      <c r="AB69" s="29">
        <f>AA69</f>
        <v>197613.6</v>
      </c>
      <c r="AC69" s="536">
        <f>Z69-AB69</f>
        <v>0</v>
      </c>
      <c r="AD69" s="36" t="s">
        <v>34</v>
      </c>
      <c r="AE69" s="36" t="s">
        <v>43</v>
      </c>
      <c r="AF69" s="29">
        <f>6*2500</f>
        <v>15000</v>
      </c>
      <c r="AG69" s="536"/>
      <c r="AH69" s="536"/>
      <c r="AI69" s="672">
        <f>Z69-AF69-AF70-AF71-AF72-AG69-AH69</f>
        <v>172497.6</v>
      </c>
      <c r="AJ69" s="675" t="s">
        <v>434</v>
      </c>
      <c r="AK69" s="252">
        <f t="shared" si="8"/>
        <v>0</v>
      </c>
      <c r="AL69" s="252">
        <f t="shared" si="9"/>
        <v>0</v>
      </c>
    </row>
    <row r="70" spans="1:38" ht="24.95" customHeight="1" x14ac:dyDescent="0.2">
      <c r="A70" s="534"/>
      <c r="B70" s="609"/>
      <c r="C70" s="521"/>
      <c r="D70" s="521"/>
      <c r="E70" s="621"/>
      <c r="F70" s="363"/>
      <c r="G70" s="363"/>
      <c r="H70" s="621"/>
      <c r="I70" s="619"/>
      <c r="J70" s="619"/>
      <c r="K70" s="619"/>
      <c r="L70" s="558"/>
      <c r="M70" s="558"/>
      <c r="N70" s="579"/>
      <c r="O70" s="558"/>
      <c r="P70" s="558"/>
      <c r="Q70" s="579"/>
      <c r="R70" s="537"/>
      <c r="S70" s="537"/>
      <c r="T70" s="582"/>
      <c r="U70" s="537"/>
      <c r="V70" s="556"/>
      <c r="W70" s="537"/>
      <c r="X70" s="537"/>
      <c r="Y70" s="518"/>
      <c r="Z70" s="662"/>
      <c r="AA70" s="29"/>
      <c r="AB70" s="29"/>
      <c r="AC70" s="537"/>
      <c r="AD70" s="36" t="s">
        <v>34</v>
      </c>
      <c r="AE70" s="36" t="s">
        <v>36</v>
      </c>
      <c r="AF70" s="29">
        <f>6*150</f>
        <v>900</v>
      </c>
      <c r="AG70" s="537"/>
      <c r="AH70" s="537"/>
      <c r="AI70" s="673"/>
      <c r="AJ70" s="675"/>
    </row>
    <row r="71" spans="1:38" ht="24.95" customHeight="1" x14ac:dyDescent="0.2">
      <c r="A71" s="534"/>
      <c r="B71" s="609"/>
      <c r="C71" s="521"/>
      <c r="D71" s="521"/>
      <c r="E71" s="621"/>
      <c r="F71" s="363"/>
      <c r="G71" s="363"/>
      <c r="H71" s="621"/>
      <c r="I71" s="619"/>
      <c r="J71" s="619"/>
      <c r="K71" s="619"/>
      <c r="L71" s="558"/>
      <c r="M71" s="558"/>
      <c r="N71" s="579"/>
      <c r="O71" s="558"/>
      <c r="P71" s="558"/>
      <c r="Q71" s="579"/>
      <c r="R71" s="537"/>
      <c r="S71" s="537"/>
      <c r="T71" s="582"/>
      <c r="U71" s="537"/>
      <c r="V71" s="556"/>
      <c r="W71" s="537"/>
      <c r="X71" s="537"/>
      <c r="Y71" s="518"/>
      <c r="Z71" s="662"/>
      <c r="AA71" s="29"/>
      <c r="AB71" s="29"/>
      <c r="AC71" s="537"/>
      <c r="AD71" s="36" t="s">
        <v>62</v>
      </c>
      <c r="AE71" s="36" t="s">
        <v>280</v>
      </c>
      <c r="AF71" s="29">
        <v>4416</v>
      </c>
      <c r="AG71" s="537"/>
      <c r="AH71" s="537"/>
      <c r="AI71" s="673"/>
      <c r="AJ71" s="675"/>
    </row>
    <row r="72" spans="1:38" ht="24.95" customHeight="1" x14ac:dyDescent="0.2">
      <c r="A72" s="535"/>
      <c r="B72" s="610"/>
      <c r="C72" s="522"/>
      <c r="D72" s="522"/>
      <c r="E72" s="463"/>
      <c r="F72" s="364"/>
      <c r="G72" s="364"/>
      <c r="H72" s="463"/>
      <c r="I72" s="468"/>
      <c r="J72" s="468"/>
      <c r="K72" s="468"/>
      <c r="L72" s="559"/>
      <c r="M72" s="559"/>
      <c r="N72" s="580"/>
      <c r="O72" s="559"/>
      <c r="P72" s="559"/>
      <c r="Q72" s="580"/>
      <c r="R72" s="538"/>
      <c r="S72" s="538"/>
      <c r="T72" s="583"/>
      <c r="U72" s="538"/>
      <c r="V72" s="555"/>
      <c r="W72" s="538"/>
      <c r="X72" s="538"/>
      <c r="Y72" s="518"/>
      <c r="Z72" s="660"/>
      <c r="AA72" s="29"/>
      <c r="AB72" s="29"/>
      <c r="AC72" s="538"/>
      <c r="AD72" s="36" t="s">
        <v>62</v>
      </c>
      <c r="AE72" s="36" t="s">
        <v>280</v>
      </c>
      <c r="AF72" s="29">
        <f>6*800</f>
        <v>4800</v>
      </c>
      <c r="AG72" s="538"/>
      <c r="AH72" s="538"/>
      <c r="AI72" s="674"/>
      <c r="AJ72" s="675"/>
    </row>
    <row r="73" spans="1:38" ht="24.95" customHeight="1" x14ac:dyDescent="0.2">
      <c r="A73" s="10">
        <v>31</v>
      </c>
      <c r="B73" s="294" t="s">
        <v>435</v>
      </c>
      <c r="C73" s="295">
        <v>2017.6</v>
      </c>
      <c r="D73" s="294" t="s">
        <v>436</v>
      </c>
      <c r="E73" s="11" t="s">
        <v>222</v>
      </c>
      <c r="F73" s="79" t="s">
        <v>148</v>
      </c>
      <c r="G73" s="12" t="s">
        <v>132</v>
      </c>
      <c r="H73" s="11" t="s">
        <v>285</v>
      </c>
      <c r="I73" s="19" t="s">
        <v>437</v>
      </c>
      <c r="J73" s="19" t="s">
        <v>33</v>
      </c>
      <c r="K73" s="19" t="s">
        <v>33</v>
      </c>
      <c r="L73" s="22">
        <v>16834.52</v>
      </c>
      <c r="M73" s="22">
        <v>12572</v>
      </c>
      <c r="N73" s="21"/>
      <c r="O73" s="21"/>
      <c r="P73" s="21"/>
      <c r="Q73" s="21"/>
      <c r="R73" s="29"/>
      <c r="S73" s="29"/>
      <c r="T73" s="32"/>
      <c r="U73" s="32"/>
      <c r="V73" s="169"/>
      <c r="W73" s="29"/>
      <c r="X73" s="29"/>
      <c r="Y73" s="29"/>
      <c r="Z73" s="150"/>
      <c r="AA73" s="29"/>
      <c r="AB73" s="29"/>
      <c r="AC73" s="32"/>
      <c r="AD73" s="37"/>
      <c r="AE73" s="37"/>
      <c r="AF73" s="32"/>
      <c r="AG73" s="32"/>
      <c r="AH73" s="32"/>
      <c r="AI73" s="175"/>
      <c r="AJ73" s="78" t="s">
        <v>438</v>
      </c>
    </row>
    <row r="74" spans="1:38" ht="24.95" customHeight="1" x14ac:dyDescent="0.2">
      <c r="A74" s="533">
        <v>32</v>
      </c>
      <c r="B74" s="520" t="s">
        <v>439</v>
      </c>
      <c r="C74" s="612" t="s">
        <v>440</v>
      </c>
      <c r="D74" s="520" t="s">
        <v>441</v>
      </c>
      <c r="E74" s="627" t="s">
        <v>337</v>
      </c>
      <c r="F74" s="362" t="s">
        <v>442</v>
      </c>
      <c r="G74" s="362" t="s">
        <v>47</v>
      </c>
      <c r="H74" s="620" t="s">
        <v>443</v>
      </c>
      <c r="I74" s="469" t="s">
        <v>444</v>
      </c>
      <c r="J74" s="469" t="s">
        <v>32</v>
      </c>
      <c r="K74" s="469" t="s">
        <v>32</v>
      </c>
      <c r="L74" s="557">
        <v>120330</v>
      </c>
      <c r="M74" s="557">
        <v>18072</v>
      </c>
      <c r="N74" s="561"/>
      <c r="O74" s="557">
        <f>125727/(L74+M74)*L74</f>
        <v>109310.05267264924</v>
      </c>
      <c r="P74" s="557">
        <f>125727/(L74+M74)*M74</f>
        <v>16416.947327350761</v>
      </c>
      <c r="Q74" s="561"/>
      <c r="R74" s="536">
        <f>O74</f>
        <v>109310.05267264924</v>
      </c>
      <c r="S74" s="536">
        <f>P74</f>
        <v>16416.947327350761</v>
      </c>
      <c r="T74" s="536">
        <v>0</v>
      </c>
      <c r="U74" s="536">
        <f>R74+S74+T74</f>
        <v>125727</v>
      </c>
      <c r="V74" s="554">
        <f>U74</f>
        <v>125727</v>
      </c>
      <c r="W74" s="536">
        <f>V74</f>
        <v>125727</v>
      </c>
      <c r="X74" s="536">
        <f>W74</f>
        <v>125727</v>
      </c>
      <c r="Y74" s="536">
        <f>V74-X74</f>
        <v>0</v>
      </c>
      <c r="Z74" s="661">
        <f>X74*0.75</f>
        <v>94295.25</v>
      </c>
      <c r="AA74" s="29">
        <v>94295.25</v>
      </c>
      <c r="AB74" s="29">
        <v>80000</v>
      </c>
      <c r="AC74" s="536">
        <f>Z74-AB74-AB75</f>
        <v>0</v>
      </c>
      <c r="AD74" s="36" t="s">
        <v>324</v>
      </c>
      <c r="AE74" s="36" t="s">
        <v>43</v>
      </c>
      <c r="AF74" s="29">
        <f>2.715*1500</f>
        <v>4072.5</v>
      </c>
      <c r="AG74" s="536"/>
      <c r="AH74" s="536"/>
      <c r="AI74" s="672">
        <f>Z74-AF74-AF75-AG74-AH74</f>
        <v>89472.75</v>
      </c>
      <c r="AJ74" s="675" t="s">
        <v>445</v>
      </c>
      <c r="AK74" s="252">
        <f>AG74/V74</f>
        <v>0</v>
      </c>
      <c r="AL74" s="252">
        <f>AH74/R74/0.8</f>
        <v>0</v>
      </c>
    </row>
    <row r="75" spans="1:38" ht="24.95" customHeight="1" x14ac:dyDescent="0.2">
      <c r="A75" s="535"/>
      <c r="B75" s="522"/>
      <c r="C75" s="614"/>
      <c r="D75" s="522"/>
      <c r="E75" s="628"/>
      <c r="F75" s="364"/>
      <c r="G75" s="364"/>
      <c r="H75" s="463"/>
      <c r="I75" s="468"/>
      <c r="J75" s="468"/>
      <c r="K75" s="468"/>
      <c r="L75" s="559"/>
      <c r="M75" s="559"/>
      <c r="N75" s="563"/>
      <c r="O75" s="559"/>
      <c r="P75" s="559"/>
      <c r="Q75" s="563"/>
      <c r="R75" s="538"/>
      <c r="S75" s="538"/>
      <c r="T75" s="538"/>
      <c r="U75" s="538"/>
      <c r="V75" s="555"/>
      <c r="W75" s="538"/>
      <c r="X75" s="538"/>
      <c r="Y75" s="538"/>
      <c r="Z75" s="660"/>
      <c r="AA75" s="29"/>
      <c r="AB75" s="29">
        <f>6891+8109-704.75</f>
        <v>14295.25</v>
      </c>
      <c r="AC75" s="538"/>
      <c r="AD75" s="36" t="s">
        <v>324</v>
      </c>
      <c r="AE75" s="36" t="s">
        <v>36</v>
      </c>
      <c r="AF75" s="29">
        <f>5*150</f>
        <v>750</v>
      </c>
      <c r="AG75" s="538"/>
      <c r="AH75" s="538"/>
      <c r="AI75" s="674"/>
      <c r="AJ75" s="675"/>
    </row>
    <row r="76" spans="1:38" ht="24.95" customHeight="1" x14ac:dyDescent="0.2">
      <c r="A76" s="10">
        <v>33</v>
      </c>
      <c r="B76" s="294" t="s">
        <v>423</v>
      </c>
      <c r="C76" s="294">
        <v>2019.8</v>
      </c>
      <c r="D76" s="294" t="s">
        <v>446</v>
      </c>
      <c r="E76" s="97" t="s">
        <v>337</v>
      </c>
      <c r="F76" s="12" t="s">
        <v>447</v>
      </c>
      <c r="G76" s="12" t="s">
        <v>47</v>
      </c>
      <c r="H76" s="11" t="s">
        <v>443</v>
      </c>
      <c r="I76" s="19" t="s">
        <v>444</v>
      </c>
      <c r="J76" s="19" t="s">
        <v>32</v>
      </c>
      <c r="K76" s="19" t="s">
        <v>32</v>
      </c>
      <c r="L76" s="638">
        <v>68109</v>
      </c>
      <c r="M76" s="639"/>
      <c r="N76" s="640"/>
      <c r="O76" s="22">
        <f>52255-P76</f>
        <v>51505</v>
      </c>
      <c r="P76" s="22">
        <f>AF76/0.8</f>
        <v>750</v>
      </c>
      <c r="Q76" s="21"/>
      <c r="R76" s="29">
        <f>O76</f>
        <v>51505</v>
      </c>
      <c r="S76" s="29">
        <f>P76</f>
        <v>750</v>
      </c>
      <c r="T76" s="32"/>
      <c r="U76" s="29">
        <f>R76+S76+T76</f>
        <v>52255</v>
      </c>
      <c r="V76" s="168">
        <f t="shared" ref="V76:X77" si="13">U76</f>
        <v>52255</v>
      </c>
      <c r="W76" s="29">
        <f t="shared" si="13"/>
        <v>52255</v>
      </c>
      <c r="X76" s="29">
        <f t="shared" si="13"/>
        <v>52255</v>
      </c>
      <c r="Y76" s="29">
        <f>V76-X76</f>
        <v>0</v>
      </c>
      <c r="Z76" s="150">
        <f>X76*0.8</f>
        <v>41804</v>
      </c>
      <c r="AA76" s="29">
        <v>41804</v>
      </c>
      <c r="AB76" s="29">
        <f t="shared" ref="AB76:AB77" si="14">AA76</f>
        <v>41804</v>
      </c>
      <c r="AC76" s="29">
        <f>Z76-AB76</f>
        <v>0</v>
      </c>
      <c r="AD76" s="36" t="s">
        <v>324</v>
      </c>
      <c r="AE76" s="36" t="s">
        <v>286</v>
      </c>
      <c r="AF76" s="29">
        <f>0.4*1500+0*150</f>
        <v>600</v>
      </c>
      <c r="AG76" s="29">
        <f>12266.43</f>
        <v>12266.43</v>
      </c>
      <c r="AH76" s="29">
        <f>7556</f>
        <v>7556</v>
      </c>
      <c r="AI76" s="151">
        <f>Z76-AF76-AG76-AH76</f>
        <v>21381.57</v>
      </c>
      <c r="AJ76" s="78" t="s">
        <v>448</v>
      </c>
      <c r="AK76" s="252">
        <f>AG76/V76</f>
        <v>0.23474174720122476</v>
      </c>
      <c r="AL76" s="252">
        <f>AH76/R76/0.8</f>
        <v>0.18338025434423841</v>
      </c>
    </row>
    <row r="77" spans="1:38" ht="24.95" customHeight="1" x14ac:dyDescent="0.2">
      <c r="A77" s="10">
        <v>37</v>
      </c>
      <c r="B77" s="294" t="s">
        <v>449</v>
      </c>
      <c r="C77" s="295" t="s">
        <v>414</v>
      </c>
      <c r="D77" s="294" t="s">
        <v>450</v>
      </c>
      <c r="E77" s="97" t="s">
        <v>330</v>
      </c>
      <c r="F77" s="12" t="s">
        <v>451</v>
      </c>
      <c r="G77" s="12" t="s">
        <v>315</v>
      </c>
      <c r="H77" s="11" t="s">
        <v>316</v>
      </c>
      <c r="I77" s="19" t="s">
        <v>317</v>
      </c>
      <c r="J77" s="19" t="s">
        <v>33</v>
      </c>
      <c r="K77" s="19" t="s">
        <v>33</v>
      </c>
      <c r="L77" s="58">
        <v>331100</v>
      </c>
      <c r="M77" s="21"/>
      <c r="N77" s="21"/>
      <c r="O77" s="22">
        <v>109703.21</v>
      </c>
      <c r="P77" s="21"/>
      <c r="Q77" s="21"/>
      <c r="R77" s="29">
        <f>O77</f>
        <v>109703.21</v>
      </c>
      <c r="S77" s="29"/>
      <c r="T77" s="32"/>
      <c r="U77" s="29">
        <f>R77+S77+T77</f>
        <v>109703.21</v>
      </c>
      <c r="V77" s="168">
        <f t="shared" si="13"/>
        <v>109703.21</v>
      </c>
      <c r="W77" s="29">
        <f t="shared" si="13"/>
        <v>109703.21</v>
      </c>
      <c r="X77" s="29">
        <f t="shared" si="13"/>
        <v>109703.21</v>
      </c>
      <c r="Y77" s="29">
        <f>V77-X77</f>
        <v>0</v>
      </c>
      <c r="Z77" s="150">
        <f>V77*0.8</f>
        <v>87762.568000000014</v>
      </c>
      <c r="AA77" s="29">
        <v>87762.568000000014</v>
      </c>
      <c r="AB77" s="29">
        <f t="shared" si="14"/>
        <v>87762.568000000014</v>
      </c>
      <c r="AC77" s="29">
        <f>Z77-AB77</f>
        <v>0</v>
      </c>
      <c r="AD77" s="37"/>
      <c r="AE77" s="37"/>
      <c r="AF77" s="32"/>
      <c r="AG77" s="29">
        <f>17511.31</f>
        <v>17511.310000000001</v>
      </c>
      <c r="AH77" s="29">
        <f>16481.23</f>
        <v>16481.23</v>
      </c>
      <c r="AI77" s="151"/>
      <c r="AJ77" s="78"/>
      <c r="AK77" s="252">
        <f>AG77/V77</f>
        <v>0.15962440843800285</v>
      </c>
      <c r="AL77" s="252">
        <f>AH77/R77/0.8</f>
        <v>0.18779338817888735</v>
      </c>
    </row>
    <row r="78" spans="1:38" ht="24.95" customHeight="1" x14ac:dyDescent="0.2">
      <c r="A78" s="620">
        <v>41</v>
      </c>
      <c r="B78" s="520" t="s">
        <v>452</v>
      </c>
      <c r="C78" s="520" t="s">
        <v>453</v>
      </c>
      <c r="D78" s="520" t="s">
        <v>454</v>
      </c>
      <c r="E78" s="620" t="s">
        <v>222</v>
      </c>
      <c r="F78" s="362" t="s">
        <v>455</v>
      </c>
      <c r="G78" s="362" t="s">
        <v>47</v>
      </c>
      <c r="H78" s="362" t="s">
        <v>48</v>
      </c>
      <c r="I78" s="633" t="s">
        <v>400</v>
      </c>
      <c r="J78" s="633" t="s">
        <v>32</v>
      </c>
      <c r="K78" s="633" t="s">
        <v>32</v>
      </c>
      <c r="L78" s="641">
        <v>60757</v>
      </c>
      <c r="M78" s="82"/>
      <c r="N78" s="21"/>
      <c r="O78" s="557">
        <v>28857</v>
      </c>
      <c r="P78" s="21"/>
      <c r="Q78" s="21"/>
      <c r="R78" s="536">
        <f>O78</f>
        <v>28857</v>
      </c>
      <c r="S78" s="29"/>
      <c r="T78" s="32"/>
      <c r="U78" s="536">
        <f>R78</f>
        <v>28857</v>
      </c>
      <c r="V78" s="340">
        <f>U78</f>
        <v>28857</v>
      </c>
      <c r="W78" s="29">
        <v>25971</v>
      </c>
      <c r="X78" s="29">
        <f>W78</f>
        <v>25971</v>
      </c>
      <c r="Y78" s="536">
        <f>V78-X78-X79</f>
        <v>0</v>
      </c>
      <c r="Z78" s="661">
        <f>V78*0.8</f>
        <v>23085.600000000002</v>
      </c>
      <c r="AA78" s="29">
        <v>20776.800000000003</v>
      </c>
      <c r="AB78" s="29">
        <f t="shared" ref="AB78:AB84" si="15">AA78</f>
        <v>20776.800000000003</v>
      </c>
      <c r="AC78" s="536">
        <f>Z78-AB78-AB79</f>
        <v>0</v>
      </c>
      <c r="AD78" s="36" t="s">
        <v>398</v>
      </c>
      <c r="AE78" s="36" t="s">
        <v>681</v>
      </c>
      <c r="AF78" s="29">
        <f>AB78*0.75</f>
        <v>15582.600000000002</v>
      </c>
      <c r="AG78" s="581"/>
      <c r="AH78" s="581"/>
      <c r="AI78" s="672">
        <f>Z78-AF78</f>
        <v>7503</v>
      </c>
      <c r="AJ78" s="677" t="s">
        <v>456</v>
      </c>
    </row>
    <row r="79" spans="1:38" ht="24.95" customHeight="1" x14ac:dyDescent="0.2">
      <c r="A79" s="621"/>
      <c r="B79" s="521"/>
      <c r="C79" s="521"/>
      <c r="D79" s="522"/>
      <c r="E79" s="621"/>
      <c r="F79" s="364"/>
      <c r="G79" s="363"/>
      <c r="H79" s="363"/>
      <c r="I79" s="634"/>
      <c r="J79" s="634"/>
      <c r="K79" s="634"/>
      <c r="L79" s="642"/>
      <c r="M79" s="82"/>
      <c r="N79" s="21"/>
      <c r="O79" s="559"/>
      <c r="P79" s="21"/>
      <c r="Q79" s="21"/>
      <c r="R79" s="538"/>
      <c r="S79" s="29"/>
      <c r="T79" s="32"/>
      <c r="U79" s="538"/>
      <c r="V79" s="341"/>
      <c r="W79" s="29">
        <v>2886</v>
      </c>
      <c r="X79" s="29">
        <f>W79</f>
        <v>2886</v>
      </c>
      <c r="Y79" s="538"/>
      <c r="Z79" s="660"/>
      <c r="AA79" s="29">
        <v>2308.8000000000002</v>
      </c>
      <c r="AB79" s="29">
        <f t="shared" si="15"/>
        <v>2308.8000000000002</v>
      </c>
      <c r="AC79" s="538"/>
      <c r="AD79" s="37"/>
      <c r="AE79" s="37"/>
      <c r="AF79" s="32"/>
      <c r="AG79" s="583"/>
      <c r="AH79" s="583"/>
      <c r="AI79" s="674"/>
      <c r="AJ79" s="679"/>
    </row>
    <row r="80" spans="1:38" ht="24.95" customHeight="1" x14ac:dyDescent="0.2">
      <c r="A80" s="621"/>
      <c r="B80" s="521"/>
      <c r="C80" s="521"/>
      <c r="D80" s="520" t="s">
        <v>457</v>
      </c>
      <c r="E80" s="621"/>
      <c r="F80" s="362" t="s">
        <v>458</v>
      </c>
      <c r="G80" s="363"/>
      <c r="H80" s="363"/>
      <c r="I80" s="634"/>
      <c r="J80" s="634"/>
      <c r="K80" s="634"/>
      <c r="L80" s="642"/>
      <c r="M80" s="82"/>
      <c r="N80" s="21"/>
      <c r="O80" s="557">
        <v>27029</v>
      </c>
      <c r="P80" s="21"/>
      <c r="Q80" s="21"/>
      <c r="R80" s="536">
        <f>O80</f>
        <v>27029</v>
      </c>
      <c r="S80" s="29"/>
      <c r="T80" s="32"/>
      <c r="U80" s="536">
        <f>R80</f>
        <v>27029</v>
      </c>
      <c r="V80" s="340">
        <f t="shared" ref="V80" si="16">U80</f>
        <v>27029</v>
      </c>
      <c r="W80" s="29">
        <v>24326</v>
      </c>
      <c r="X80" s="29">
        <f>W80</f>
        <v>24326</v>
      </c>
      <c r="Y80" s="536">
        <f>V80-X80-X81</f>
        <v>0</v>
      </c>
      <c r="Z80" s="661">
        <f>V80*0.8</f>
        <v>21623.200000000001</v>
      </c>
      <c r="AA80" s="29">
        <v>19460.8</v>
      </c>
      <c r="AB80" s="29">
        <f t="shared" si="15"/>
        <v>19460.8</v>
      </c>
      <c r="AC80" s="536">
        <f>Z80-AB80-AB81</f>
        <v>0</v>
      </c>
      <c r="AD80" s="36" t="s">
        <v>398</v>
      </c>
      <c r="AE80" s="36" t="s">
        <v>681</v>
      </c>
      <c r="AF80" s="29">
        <f>AB80*0.75</f>
        <v>14595.599999999999</v>
      </c>
      <c r="AG80" s="581"/>
      <c r="AH80" s="581"/>
      <c r="AI80" s="672">
        <f>Z80-AF80</f>
        <v>7027.6000000000022</v>
      </c>
      <c r="AJ80" s="677" t="s">
        <v>456</v>
      </c>
    </row>
    <row r="81" spans="1:38" ht="24.95" customHeight="1" x14ac:dyDescent="0.2">
      <c r="A81" s="621"/>
      <c r="B81" s="521"/>
      <c r="C81" s="521"/>
      <c r="D81" s="522"/>
      <c r="E81" s="621"/>
      <c r="F81" s="364"/>
      <c r="G81" s="363"/>
      <c r="H81" s="363"/>
      <c r="I81" s="634"/>
      <c r="J81" s="634"/>
      <c r="K81" s="634"/>
      <c r="L81" s="642"/>
      <c r="M81" s="82"/>
      <c r="N81" s="21"/>
      <c r="O81" s="559"/>
      <c r="P81" s="21"/>
      <c r="Q81" s="21"/>
      <c r="R81" s="538"/>
      <c r="S81" s="29"/>
      <c r="T81" s="32"/>
      <c r="U81" s="538"/>
      <c r="V81" s="341"/>
      <c r="W81" s="29">
        <v>2703</v>
      </c>
      <c r="X81" s="29">
        <v>2703</v>
      </c>
      <c r="Y81" s="538"/>
      <c r="Z81" s="660"/>
      <c r="AA81" s="29">
        <v>2162.4</v>
      </c>
      <c r="AB81" s="29">
        <f t="shared" si="15"/>
        <v>2162.4</v>
      </c>
      <c r="AC81" s="538"/>
      <c r="AD81" s="37"/>
      <c r="AE81" s="37"/>
      <c r="AF81" s="32"/>
      <c r="AG81" s="583"/>
      <c r="AH81" s="583"/>
      <c r="AI81" s="674"/>
      <c r="AJ81" s="679"/>
    </row>
    <row r="82" spans="1:38" ht="24.95" customHeight="1" x14ac:dyDescent="0.2">
      <c r="A82" s="621"/>
      <c r="B82" s="521"/>
      <c r="C82" s="521"/>
      <c r="D82" s="520" t="s">
        <v>459</v>
      </c>
      <c r="E82" s="621"/>
      <c r="F82" s="362" t="s">
        <v>460</v>
      </c>
      <c r="G82" s="363"/>
      <c r="H82" s="363"/>
      <c r="I82" s="634"/>
      <c r="J82" s="634"/>
      <c r="K82" s="634"/>
      <c r="L82" s="642"/>
      <c r="M82" s="82"/>
      <c r="N82" s="21"/>
      <c r="O82" s="557">
        <v>3656</v>
      </c>
      <c r="P82" s="21"/>
      <c r="Q82" s="21"/>
      <c r="R82" s="536">
        <f>O82</f>
        <v>3656</v>
      </c>
      <c r="S82" s="29"/>
      <c r="T82" s="32"/>
      <c r="U82" s="536">
        <f>R82</f>
        <v>3656</v>
      </c>
      <c r="V82" s="340">
        <f t="shared" ref="V82" si="17">U82</f>
        <v>3656</v>
      </c>
      <c r="W82" s="29">
        <v>3290</v>
      </c>
      <c r="X82" s="29">
        <f>W82</f>
        <v>3290</v>
      </c>
      <c r="Y82" s="536">
        <f>V82-X82-X83</f>
        <v>0</v>
      </c>
      <c r="Z82" s="661">
        <f>V82*0.8</f>
        <v>2924.8</v>
      </c>
      <c r="AA82" s="29">
        <v>2632</v>
      </c>
      <c r="AB82" s="29">
        <f t="shared" si="15"/>
        <v>2632</v>
      </c>
      <c r="AC82" s="536">
        <f>Z82-AB82-AB83</f>
        <v>0</v>
      </c>
      <c r="AD82" s="36" t="s">
        <v>398</v>
      </c>
      <c r="AE82" s="36" t="s">
        <v>681</v>
      </c>
      <c r="AF82" s="29">
        <f>AB82*0.75</f>
        <v>1974</v>
      </c>
      <c r="AG82" s="581"/>
      <c r="AH82" s="581"/>
      <c r="AI82" s="672">
        <f>Z82-AF82</f>
        <v>950.80000000000018</v>
      </c>
      <c r="AJ82" s="677" t="s">
        <v>456</v>
      </c>
    </row>
    <row r="83" spans="1:38" ht="24.95" customHeight="1" x14ac:dyDescent="0.2">
      <c r="A83" s="621"/>
      <c r="B83" s="521"/>
      <c r="C83" s="522"/>
      <c r="D83" s="522"/>
      <c r="E83" s="463"/>
      <c r="F83" s="364"/>
      <c r="G83" s="363"/>
      <c r="H83" s="363"/>
      <c r="I83" s="634"/>
      <c r="J83" s="634"/>
      <c r="K83" s="634"/>
      <c r="L83" s="636"/>
      <c r="M83" s="82"/>
      <c r="N83" s="21"/>
      <c r="O83" s="559"/>
      <c r="P83" s="21"/>
      <c r="Q83" s="21"/>
      <c r="R83" s="538"/>
      <c r="S83" s="29"/>
      <c r="T83" s="32"/>
      <c r="U83" s="538"/>
      <c r="V83" s="341"/>
      <c r="W83" s="29">
        <v>366</v>
      </c>
      <c r="X83" s="29">
        <v>366</v>
      </c>
      <c r="Y83" s="538"/>
      <c r="Z83" s="660"/>
      <c r="AA83" s="29">
        <v>292.8</v>
      </c>
      <c r="AB83" s="29">
        <f t="shared" si="15"/>
        <v>292.8</v>
      </c>
      <c r="AC83" s="538"/>
      <c r="AD83" s="37"/>
      <c r="AE83" s="37"/>
      <c r="AF83" s="32"/>
      <c r="AG83" s="583"/>
      <c r="AH83" s="583"/>
      <c r="AI83" s="674"/>
      <c r="AJ83" s="679"/>
    </row>
    <row r="84" spans="1:38" ht="24.95" customHeight="1" x14ac:dyDescent="0.2">
      <c r="A84" s="621"/>
      <c r="B84" s="521"/>
      <c r="C84" s="520">
        <v>2020.6</v>
      </c>
      <c r="D84" s="520" t="s">
        <v>461</v>
      </c>
      <c r="E84" s="620" t="s">
        <v>222</v>
      </c>
      <c r="F84" s="362" t="s">
        <v>462</v>
      </c>
      <c r="G84" s="363"/>
      <c r="H84" s="363"/>
      <c r="I84" s="634"/>
      <c r="J84" s="634"/>
      <c r="K84" s="634"/>
      <c r="L84" s="641">
        <v>21550</v>
      </c>
      <c r="M84" s="643"/>
      <c r="N84" s="643"/>
      <c r="O84" s="557">
        <v>21119</v>
      </c>
      <c r="P84" s="643"/>
      <c r="Q84" s="643"/>
      <c r="R84" s="536">
        <f>O84</f>
        <v>21119</v>
      </c>
      <c r="S84" s="29"/>
      <c r="T84" s="32"/>
      <c r="U84" s="536">
        <f>R84</f>
        <v>21119</v>
      </c>
      <c r="V84" s="340">
        <f t="shared" ref="V84" si="18">U84</f>
        <v>21119</v>
      </c>
      <c r="W84" s="29">
        <v>19007</v>
      </c>
      <c r="X84" s="29">
        <f>W84</f>
        <v>19007</v>
      </c>
      <c r="Y84" s="536">
        <f>V84-X84-X85</f>
        <v>0</v>
      </c>
      <c r="Z84" s="661">
        <f>V84*0.8</f>
        <v>16895.2</v>
      </c>
      <c r="AA84" s="29">
        <v>15205.6</v>
      </c>
      <c r="AB84" s="29">
        <f t="shared" si="15"/>
        <v>15205.6</v>
      </c>
      <c r="AC84" s="536">
        <f>Z84-AB84-AB85</f>
        <v>1689.6000000000004</v>
      </c>
      <c r="AD84" s="37"/>
      <c r="AE84" s="37"/>
      <c r="AF84" s="32"/>
      <c r="AG84" s="693"/>
      <c r="AH84" s="536">
        <f>3801.4</f>
        <v>3801.4</v>
      </c>
      <c r="AI84" s="672">
        <f>Z84-AG84-AH84</f>
        <v>13093.800000000001</v>
      </c>
      <c r="AJ84" s="677"/>
      <c r="AK84" s="252">
        <f>AG84/V84</f>
        <v>0</v>
      </c>
      <c r="AL84" s="252">
        <f>AH84/R84/0.8</f>
        <v>0.22499881623182916</v>
      </c>
    </row>
    <row r="85" spans="1:38" ht="24.95" customHeight="1" x14ac:dyDescent="0.2">
      <c r="A85" s="621"/>
      <c r="B85" s="521"/>
      <c r="C85" s="522"/>
      <c r="D85" s="522"/>
      <c r="E85" s="463"/>
      <c r="F85" s="364"/>
      <c r="G85" s="363"/>
      <c r="H85" s="363"/>
      <c r="I85" s="634"/>
      <c r="J85" s="634"/>
      <c r="K85" s="634"/>
      <c r="L85" s="636"/>
      <c r="M85" s="644"/>
      <c r="N85" s="644"/>
      <c r="O85" s="559"/>
      <c r="P85" s="644"/>
      <c r="Q85" s="644"/>
      <c r="R85" s="538"/>
      <c r="S85" s="29"/>
      <c r="T85" s="32"/>
      <c r="U85" s="538"/>
      <c r="V85" s="341"/>
      <c r="W85" s="29">
        <v>2112</v>
      </c>
      <c r="X85" s="29">
        <v>2112</v>
      </c>
      <c r="Y85" s="538"/>
      <c r="Z85" s="660"/>
      <c r="AA85" s="29"/>
      <c r="AB85" s="29"/>
      <c r="AC85" s="538"/>
      <c r="AD85" s="37"/>
      <c r="AE85" s="37"/>
      <c r="AF85" s="32"/>
      <c r="AG85" s="694"/>
      <c r="AH85" s="538"/>
      <c r="AI85" s="674"/>
      <c r="AJ85" s="679"/>
    </row>
    <row r="86" spans="1:38" ht="24.95" customHeight="1" x14ac:dyDescent="0.2">
      <c r="A86" s="620">
        <v>42</v>
      </c>
      <c r="B86" s="520" t="s">
        <v>463</v>
      </c>
      <c r="C86" s="612">
        <v>2019.3</v>
      </c>
      <c r="D86" s="520" t="s">
        <v>464</v>
      </c>
      <c r="E86" s="620" t="s">
        <v>222</v>
      </c>
      <c r="F86" s="362" t="s">
        <v>465</v>
      </c>
      <c r="G86" s="362" t="s">
        <v>47</v>
      </c>
      <c r="H86" s="620" t="s">
        <v>443</v>
      </c>
      <c r="I86" s="469">
        <v>13811589649</v>
      </c>
      <c r="J86" s="469" t="s">
        <v>32</v>
      </c>
      <c r="K86" s="469" t="s">
        <v>32</v>
      </c>
      <c r="L86" s="641">
        <v>203847</v>
      </c>
      <c r="M86" s="641">
        <v>118500</v>
      </c>
      <c r="N86" s="643"/>
      <c r="O86" s="557">
        <f>INT(L86*0.98)+36</f>
        <v>199806</v>
      </c>
      <c r="P86" s="557">
        <f>M86*0.98</f>
        <v>116130</v>
      </c>
      <c r="Q86" s="643"/>
      <c r="R86" s="536">
        <f>O86</f>
        <v>199806</v>
      </c>
      <c r="S86" s="536">
        <f>P86</f>
        <v>116130</v>
      </c>
      <c r="T86" s="651"/>
      <c r="U86" s="536">
        <f>R86+S86</f>
        <v>315936</v>
      </c>
      <c r="V86" s="554">
        <f>U86</f>
        <v>315936</v>
      </c>
      <c r="W86" s="29">
        <v>295955</v>
      </c>
      <c r="X86" s="29">
        <f>W86</f>
        <v>295955</v>
      </c>
      <c r="Y86" s="536">
        <f>V86-X86-X87</f>
        <v>0</v>
      </c>
      <c r="Z86" s="661">
        <f>V86*0.8</f>
        <v>252748.80000000002</v>
      </c>
      <c r="AA86" s="29">
        <v>236764</v>
      </c>
      <c r="AB86" s="29">
        <f>AA86</f>
        <v>236764</v>
      </c>
      <c r="AC86" s="536">
        <f>Z86-AB86-AB87</f>
        <v>15984.800000000017</v>
      </c>
      <c r="AD86" s="36" t="s">
        <v>324</v>
      </c>
      <c r="AE86" s="36" t="s">
        <v>286</v>
      </c>
      <c r="AF86" s="84">
        <f>7.8*2500+6*150</f>
        <v>20400</v>
      </c>
      <c r="AG86" s="536">
        <f>73988.75</f>
        <v>73988.75</v>
      </c>
      <c r="AH86" s="536"/>
      <c r="AI86" s="672">
        <f>Z86-AF86-AF87-AG86-AH86</f>
        <v>148220.05000000002</v>
      </c>
      <c r="AJ86" s="675"/>
      <c r="AK86" s="252">
        <f>AG86/V86</f>
        <v>0.2341890446166312</v>
      </c>
      <c r="AL86" s="252">
        <f>AH86/R86/0.8</f>
        <v>0</v>
      </c>
    </row>
    <row r="87" spans="1:38" ht="24.95" customHeight="1" x14ac:dyDescent="0.2">
      <c r="A87" s="621"/>
      <c r="B87" s="521"/>
      <c r="C87" s="613"/>
      <c r="D87" s="521"/>
      <c r="E87" s="621"/>
      <c r="F87" s="363"/>
      <c r="G87" s="363"/>
      <c r="H87" s="621"/>
      <c r="I87" s="619"/>
      <c r="J87" s="619"/>
      <c r="K87" s="619"/>
      <c r="L87" s="642"/>
      <c r="M87" s="642"/>
      <c r="N87" s="644"/>
      <c r="O87" s="559"/>
      <c r="P87" s="559"/>
      <c r="Q87" s="644"/>
      <c r="R87" s="538"/>
      <c r="S87" s="538"/>
      <c r="T87" s="652"/>
      <c r="U87" s="538"/>
      <c r="V87" s="555"/>
      <c r="W87" s="29"/>
      <c r="X87" s="29">
        <v>19981</v>
      </c>
      <c r="Y87" s="538"/>
      <c r="Z87" s="660"/>
      <c r="AA87" s="29"/>
      <c r="AB87" s="29"/>
      <c r="AC87" s="538"/>
      <c r="AD87" s="36" t="s">
        <v>37</v>
      </c>
      <c r="AE87" s="36" t="s">
        <v>466</v>
      </c>
      <c r="AF87" s="84">
        <f>7.8*800+78*50</f>
        <v>10140</v>
      </c>
      <c r="AG87" s="538"/>
      <c r="AH87" s="538"/>
      <c r="AI87" s="674"/>
      <c r="AJ87" s="675"/>
    </row>
    <row r="88" spans="1:38" ht="24.95" customHeight="1" x14ac:dyDescent="0.2">
      <c r="A88" s="621"/>
      <c r="B88" s="521"/>
      <c r="C88" s="295">
        <v>2020.5</v>
      </c>
      <c r="D88" s="294" t="s">
        <v>467</v>
      </c>
      <c r="E88" s="621"/>
      <c r="F88" s="12" t="s">
        <v>468</v>
      </c>
      <c r="G88" s="363"/>
      <c r="H88" s="621"/>
      <c r="I88" s="619"/>
      <c r="J88" s="619"/>
      <c r="K88" s="619"/>
      <c r="L88" s="58">
        <v>140114</v>
      </c>
      <c r="M88" s="82"/>
      <c r="N88" s="21"/>
      <c r="O88" s="25">
        <v>137312</v>
      </c>
      <c r="P88" s="21"/>
      <c r="Q88" s="21"/>
      <c r="R88" s="29">
        <f>O88</f>
        <v>137312</v>
      </c>
      <c r="S88" s="29"/>
      <c r="T88" s="32"/>
      <c r="U88" s="29">
        <f>R88</f>
        <v>137312</v>
      </c>
      <c r="V88" s="168">
        <f t="shared" ref="V88:X89" si="19">U88</f>
        <v>137312</v>
      </c>
      <c r="W88" s="29">
        <f t="shared" si="19"/>
        <v>137312</v>
      </c>
      <c r="X88" s="29">
        <f t="shared" si="19"/>
        <v>137312</v>
      </c>
      <c r="Y88" s="29">
        <f>V88-X88</f>
        <v>0</v>
      </c>
      <c r="Z88" s="150">
        <f>V88*0.8</f>
        <v>109849.60000000001</v>
      </c>
      <c r="AA88" s="29">
        <v>109849.60000000001</v>
      </c>
      <c r="AB88" s="29">
        <f t="shared" ref="AB88:AB89" si="20">AA88</f>
        <v>109849.60000000001</v>
      </c>
      <c r="AC88" s="29">
        <f>Z88-AB88</f>
        <v>0</v>
      </c>
      <c r="AD88" s="37"/>
      <c r="AE88" s="37"/>
      <c r="AF88" s="32"/>
      <c r="AG88" s="29">
        <f>30895.25+3223.24</f>
        <v>34118.49</v>
      </c>
      <c r="AH88" s="29">
        <f>19772.96+2062.87</f>
        <v>21835.829999999998</v>
      </c>
      <c r="AI88" s="151">
        <f>Z88-AG88-AH88</f>
        <v>53895.280000000013</v>
      </c>
      <c r="AJ88" s="78"/>
      <c r="AK88" s="252">
        <f>AG88/V88</f>
        <v>0.24847420473083195</v>
      </c>
      <c r="AL88" s="252">
        <f>AH88/R88/0.8</f>
        <v>0.19877933101258446</v>
      </c>
    </row>
    <row r="89" spans="1:38" ht="24.95" customHeight="1" x14ac:dyDescent="0.2">
      <c r="A89" s="621"/>
      <c r="B89" s="521"/>
      <c r="C89" s="297">
        <v>2020.6</v>
      </c>
      <c r="D89" s="296" t="s">
        <v>469</v>
      </c>
      <c r="E89" s="621"/>
      <c r="F89" s="12" t="s">
        <v>470</v>
      </c>
      <c r="G89" s="363"/>
      <c r="H89" s="621"/>
      <c r="I89" s="619"/>
      <c r="J89" s="619"/>
      <c r="K89" s="619"/>
      <c r="L89" s="56">
        <f>143208*2/3</f>
        <v>95472</v>
      </c>
      <c r="M89" s="56">
        <v>80000</v>
      </c>
      <c r="N89" s="23"/>
      <c r="O89" s="22">
        <f>248640-M89-O92-P92</f>
        <v>91093</v>
      </c>
      <c r="P89" s="22">
        <f>M89</f>
        <v>80000</v>
      </c>
      <c r="Q89" s="21"/>
      <c r="R89" s="29">
        <f>O89</f>
        <v>91093</v>
      </c>
      <c r="S89" s="29">
        <f>P89</f>
        <v>80000</v>
      </c>
      <c r="T89" s="32"/>
      <c r="U89" s="29">
        <f>R89+S89</f>
        <v>171093</v>
      </c>
      <c r="V89" s="168">
        <f t="shared" si="19"/>
        <v>171093</v>
      </c>
      <c r="W89" s="29">
        <f t="shared" si="19"/>
        <v>171093</v>
      </c>
      <c r="X89" s="29">
        <f t="shared" si="19"/>
        <v>171093</v>
      </c>
      <c r="Y89" s="29">
        <f>V89-X89</f>
        <v>0</v>
      </c>
      <c r="Z89" s="150">
        <f>V89*0.8</f>
        <v>136874.4</v>
      </c>
      <c r="AA89" s="29">
        <v>136874.4</v>
      </c>
      <c r="AB89" s="29">
        <f t="shared" si="20"/>
        <v>136874.4</v>
      </c>
      <c r="AC89" s="29">
        <f>Z89-AB89</f>
        <v>0</v>
      </c>
      <c r="AD89" s="36" t="s">
        <v>471</v>
      </c>
      <c r="AE89" s="36" t="s">
        <v>472</v>
      </c>
      <c r="AF89" s="84">
        <f>11*800+8000</f>
        <v>16800</v>
      </c>
      <c r="AG89" s="29"/>
      <c r="AH89" s="29"/>
      <c r="AI89" s="151">
        <f>Z89-AF89-AG89-AH89</f>
        <v>120074.4</v>
      </c>
      <c r="AJ89" s="78"/>
      <c r="AK89" s="252">
        <f>AG89/V89</f>
        <v>0</v>
      </c>
      <c r="AL89" s="252">
        <f>AH89/R89/0.8</f>
        <v>0</v>
      </c>
    </row>
    <row r="90" spans="1:38" ht="24.95" customHeight="1" x14ac:dyDescent="0.2">
      <c r="A90" s="621"/>
      <c r="B90" s="521"/>
      <c r="C90" s="297">
        <v>2020.6</v>
      </c>
      <c r="D90" s="296" t="s">
        <v>473</v>
      </c>
      <c r="E90" s="621"/>
      <c r="F90" s="12" t="s">
        <v>474</v>
      </c>
      <c r="G90" s="363"/>
      <c r="H90" s="621"/>
      <c r="I90" s="619"/>
      <c r="J90" s="619"/>
      <c r="K90" s="619"/>
      <c r="L90" s="56">
        <v>80752</v>
      </c>
      <c r="M90" s="56">
        <v>89750</v>
      </c>
      <c r="N90" s="23"/>
      <c r="O90" s="22">
        <f>166949-M90</f>
        <v>77199</v>
      </c>
      <c r="P90" s="22">
        <f>M90</f>
        <v>89750</v>
      </c>
      <c r="Q90" s="21"/>
      <c r="R90" s="29">
        <f>O90</f>
        <v>77199</v>
      </c>
      <c r="S90" s="29">
        <f>P90</f>
        <v>89750</v>
      </c>
      <c r="T90" s="32"/>
      <c r="U90" s="29">
        <f t="shared" ref="U90:U91" si="21">R90+S90</f>
        <v>166949</v>
      </c>
      <c r="V90" s="168">
        <f t="shared" ref="V90:V91" si="22">U90</f>
        <v>166949</v>
      </c>
      <c r="W90" s="29">
        <f t="shared" ref="W90:W91" si="23">V90</f>
        <v>166949</v>
      </c>
      <c r="X90" s="29">
        <f t="shared" ref="X90:X91" si="24">W90</f>
        <v>166949</v>
      </c>
      <c r="Y90" s="29">
        <f>V90-X90</f>
        <v>0</v>
      </c>
      <c r="Z90" s="150">
        <f t="shared" ref="Z90:Z91" si="25">V90*0.8</f>
        <v>133559.20000000001</v>
      </c>
      <c r="AA90" s="29">
        <v>133559.20000000001</v>
      </c>
      <c r="AB90" s="29">
        <f t="shared" ref="AB90:AB92" si="26">AA90</f>
        <v>133559.20000000001</v>
      </c>
      <c r="AC90" s="29">
        <f>Z90-AB90</f>
        <v>0</v>
      </c>
      <c r="AD90" s="36" t="s">
        <v>475</v>
      </c>
      <c r="AE90" s="36" t="s">
        <v>472</v>
      </c>
      <c r="AF90" s="84">
        <f>8.975*800+1500</f>
        <v>8680</v>
      </c>
      <c r="AG90" s="29">
        <f>39189.91</f>
        <v>39189.910000000003</v>
      </c>
      <c r="AH90" s="29">
        <v>11597.97</v>
      </c>
      <c r="AI90" s="151">
        <f>Z90-AF90-AG90-AH90</f>
        <v>74091.320000000007</v>
      </c>
      <c r="AJ90" s="78"/>
      <c r="AK90" s="252">
        <f>AG90/V90</f>
        <v>0.23474180737830116</v>
      </c>
      <c r="AL90" s="252">
        <f>AH90/R90/0.8</f>
        <v>0.18779339758287023</v>
      </c>
    </row>
    <row r="91" spans="1:38" ht="24.95" customHeight="1" x14ac:dyDescent="0.2">
      <c r="A91" s="621"/>
      <c r="B91" s="521"/>
      <c r="C91" s="297">
        <v>2020.6</v>
      </c>
      <c r="D91" s="296" t="s">
        <v>476</v>
      </c>
      <c r="E91" s="621"/>
      <c r="F91" s="12" t="s">
        <v>477</v>
      </c>
      <c r="G91" s="363"/>
      <c r="H91" s="621"/>
      <c r="I91" s="619"/>
      <c r="J91" s="619"/>
      <c r="K91" s="619"/>
      <c r="L91" s="56">
        <v>50612</v>
      </c>
      <c r="M91" s="56">
        <v>87400</v>
      </c>
      <c r="N91" s="23"/>
      <c r="O91" s="22">
        <f>133936-M91</f>
        <v>46536</v>
      </c>
      <c r="P91" s="22">
        <f>M91</f>
        <v>87400</v>
      </c>
      <c r="Q91" s="21"/>
      <c r="R91" s="29">
        <f>O91</f>
        <v>46536</v>
      </c>
      <c r="S91" s="29">
        <f>P91</f>
        <v>87400</v>
      </c>
      <c r="T91" s="32"/>
      <c r="U91" s="29">
        <f t="shared" si="21"/>
        <v>133936</v>
      </c>
      <c r="V91" s="168">
        <f t="shared" si="22"/>
        <v>133936</v>
      </c>
      <c r="W91" s="29">
        <f t="shared" si="23"/>
        <v>133936</v>
      </c>
      <c r="X91" s="29">
        <f t="shared" si="24"/>
        <v>133936</v>
      </c>
      <c r="Y91" s="29">
        <f>V91-X91</f>
        <v>0</v>
      </c>
      <c r="Z91" s="150">
        <f t="shared" si="25"/>
        <v>107148.8</v>
      </c>
      <c r="AA91" s="29">
        <v>107148.8</v>
      </c>
      <c r="AB91" s="29">
        <f t="shared" si="26"/>
        <v>107148.8</v>
      </c>
      <c r="AC91" s="29">
        <f>Z91-AB91</f>
        <v>0</v>
      </c>
      <c r="AD91" s="36" t="s">
        <v>475</v>
      </c>
      <c r="AE91" s="36" t="s">
        <v>472</v>
      </c>
      <c r="AF91" s="84">
        <f>11.6*800+1500</f>
        <v>10780</v>
      </c>
      <c r="AG91" s="29">
        <f>31440.38</f>
        <v>31440.38</v>
      </c>
      <c r="AH91" s="29">
        <f>6991.32</f>
        <v>6991.32</v>
      </c>
      <c r="AI91" s="151">
        <f>Z91-AF91-AG91-AH91</f>
        <v>57937.1</v>
      </c>
      <c r="AJ91" s="78"/>
      <c r="AK91" s="252">
        <f>AG91/V91</f>
        <v>0.23474181698721777</v>
      </c>
      <c r="AL91" s="252">
        <f>AH91/R91/0.8</f>
        <v>0.18779332129963897</v>
      </c>
    </row>
    <row r="92" spans="1:38" ht="24.95" customHeight="1" thickBot="1" x14ac:dyDescent="0.25">
      <c r="A92" s="622"/>
      <c r="B92" s="611"/>
      <c r="C92" s="297" t="s">
        <v>737</v>
      </c>
      <c r="D92" s="303" t="s">
        <v>738</v>
      </c>
      <c r="E92" s="622"/>
      <c r="F92" s="12" t="s">
        <v>470</v>
      </c>
      <c r="G92" s="632"/>
      <c r="H92" s="622"/>
      <c r="I92" s="635"/>
      <c r="J92" s="635"/>
      <c r="K92" s="635"/>
      <c r="L92" s="56">
        <f>143208*1/3</f>
        <v>47736</v>
      </c>
      <c r="M92" s="56">
        <v>32000</v>
      </c>
      <c r="N92" s="23"/>
      <c r="O92" s="45">
        <v>45547</v>
      </c>
      <c r="P92" s="45">
        <v>32000</v>
      </c>
      <c r="Q92" s="45"/>
      <c r="R92" s="47">
        <v>45547</v>
      </c>
      <c r="S92" s="47">
        <v>32000</v>
      </c>
      <c r="T92" s="47">
        <v>0</v>
      </c>
      <c r="U92" s="47">
        <f>R92+S92+T92</f>
        <v>77547</v>
      </c>
      <c r="V92" s="170">
        <f>U92</f>
        <v>77547</v>
      </c>
      <c r="W92" s="47">
        <f>V92</f>
        <v>77547</v>
      </c>
      <c r="X92" s="47">
        <f>W92</f>
        <v>77547</v>
      </c>
      <c r="Y92" s="47">
        <f>V92-X92</f>
        <v>0</v>
      </c>
      <c r="Z92" s="171">
        <f>V92*0.8</f>
        <v>62037.600000000006</v>
      </c>
      <c r="AA92" s="29">
        <v>62037.600000000006</v>
      </c>
      <c r="AB92" s="29">
        <f t="shared" si="26"/>
        <v>62037.600000000006</v>
      </c>
      <c r="AC92" s="29">
        <f>Z92-AB92</f>
        <v>0</v>
      </c>
      <c r="AD92" s="49" t="s">
        <v>341</v>
      </c>
      <c r="AE92" s="49" t="s">
        <v>283</v>
      </c>
      <c r="AF92" s="85">
        <f>Z92</f>
        <v>62037.600000000006</v>
      </c>
      <c r="AG92" s="255">
        <f>40162.68</f>
        <v>40162.68</v>
      </c>
      <c r="AH92" s="255">
        <f>13685.33</f>
        <v>13685.33</v>
      </c>
      <c r="AI92" s="177">
        <f>Z92-AF92</f>
        <v>0</v>
      </c>
      <c r="AJ92" s="86" t="s">
        <v>739</v>
      </c>
      <c r="AK92" s="252">
        <f>AG92/V92</f>
        <v>0.51791403922782309</v>
      </c>
      <c r="AL92" s="252">
        <f>AH92/R92/0.8</f>
        <v>0.37558263991042218</v>
      </c>
    </row>
    <row r="93" spans="1:38" ht="24.95" customHeight="1" thickBot="1" x14ac:dyDescent="0.25">
      <c r="A93" s="539" t="s">
        <v>224</v>
      </c>
      <c r="B93" s="540"/>
      <c r="C93" s="540"/>
      <c r="D93" s="540"/>
      <c r="E93" s="540"/>
      <c r="F93" s="540"/>
      <c r="G93" s="540"/>
      <c r="H93" s="540"/>
      <c r="I93" s="540"/>
      <c r="J93" s="540"/>
      <c r="K93" s="540"/>
      <c r="L93" s="258">
        <f t="shared" ref="L93:AC93" si="27">SUM(L5:L92)</f>
        <v>11855896.150000002</v>
      </c>
      <c r="M93" s="258">
        <f t="shared" si="27"/>
        <v>1829141.17</v>
      </c>
      <c r="N93" s="258">
        <f t="shared" si="27"/>
        <v>50000</v>
      </c>
      <c r="O93" s="258">
        <f t="shared" si="27"/>
        <v>6246498.919372648</v>
      </c>
      <c r="P93" s="258">
        <f t="shared" si="27"/>
        <v>1710352.9006273509</v>
      </c>
      <c r="Q93" s="258">
        <f t="shared" si="27"/>
        <v>50000</v>
      </c>
      <c r="R93" s="258">
        <f t="shared" si="27"/>
        <v>7921337.6993726483</v>
      </c>
      <c r="S93" s="258">
        <f t="shared" si="27"/>
        <v>1660078.240627351</v>
      </c>
      <c r="T93" s="258">
        <f t="shared" si="27"/>
        <v>50000</v>
      </c>
      <c r="U93" s="258">
        <f t="shared" si="27"/>
        <v>9631415.9399999995</v>
      </c>
      <c r="V93" s="198">
        <f t="shared" si="27"/>
        <v>9631415.9399999995</v>
      </c>
      <c r="W93" s="258">
        <f t="shared" si="27"/>
        <v>7182887.46</v>
      </c>
      <c r="X93" s="258">
        <f t="shared" si="27"/>
        <v>7202868.46</v>
      </c>
      <c r="Y93" s="258">
        <f t="shared" si="27"/>
        <v>2428547.48</v>
      </c>
      <c r="Z93" s="198">
        <f t="shared" si="27"/>
        <v>7683562.5919999983</v>
      </c>
      <c r="AA93" s="258">
        <f t="shared" si="27"/>
        <v>4437852.0519999983</v>
      </c>
      <c r="AB93" s="258">
        <f t="shared" si="27"/>
        <v>4714887.6559999986</v>
      </c>
      <c r="AC93" s="258">
        <f t="shared" si="27"/>
        <v>2725746.1840000004</v>
      </c>
      <c r="AD93" s="259"/>
      <c r="AE93" s="259"/>
      <c r="AF93" s="258">
        <f>SUM(AF5:AF92)</f>
        <v>526679</v>
      </c>
      <c r="AG93" s="258">
        <f>SUM(AG5:AG92)</f>
        <v>859777.58000000019</v>
      </c>
      <c r="AH93" s="258">
        <f>SUM(AH5:AH92)</f>
        <v>378095.05</v>
      </c>
      <c r="AI93" s="198">
        <f>SUM(AI5:AI92)</f>
        <v>4872586.324</v>
      </c>
      <c r="AJ93" s="260"/>
    </row>
    <row r="94" spans="1:38" ht="35.1" customHeight="1" x14ac:dyDescent="0.2">
      <c r="A94" s="623" t="s">
        <v>207</v>
      </c>
      <c r="B94" s="623"/>
      <c r="C94" s="623"/>
      <c r="D94" s="623"/>
      <c r="E94" s="623"/>
      <c r="F94" s="623"/>
      <c r="G94" s="623"/>
      <c r="H94" s="623"/>
      <c r="I94" s="623"/>
      <c r="J94" s="623"/>
      <c r="K94" s="623"/>
      <c r="L94" s="5">
        <v>18855225.4866</v>
      </c>
      <c r="M94" s="5">
        <v>1083317.17</v>
      </c>
      <c r="N94" s="5">
        <v>50000</v>
      </c>
      <c r="O94" s="5">
        <v>1165467.51</v>
      </c>
      <c r="P94" s="5">
        <v>340405.66</v>
      </c>
      <c r="Q94" s="5">
        <v>50000</v>
      </c>
      <c r="R94" s="5">
        <v>1274777.56267265</v>
      </c>
      <c r="S94" s="5">
        <v>356822.607327351</v>
      </c>
      <c r="T94" s="5">
        <v>50000</v>
      </c>
      <c r="U94" s="5">
        <v>1823928.17</v>
      </c>
      <c r="V94" s="166">
        <v>1823928.17</v>
      </c>
      <c r="W94" s="5">
        <v>1488579.16</v>
      </c>
      <c r="X94" s="5">
        <v>1488579.16</v>
      </c>
      <c r="Y94" s="5">
        <v>335349.01</v>
      </c>
      <c r="Z94" s="172">
        <v>1236531.1359999999</v>
      </c>
      <c r="AA94" s="5">
        <v>666600.31999999995</v>
      </c>
      <c r="AB94" s="5">
        <v>666600.31999999995</v>
      </c>
      <c r="AC94" s="5">
        <v>583802.15599999996</v>
      </c>
      <c r="AF94" s="5">
        <v>52085</v>
      </c>
      <c r="AG94" s="5">
        <v>388968.29249999998</v>
      </c>
      <c r="AH94" s="5">
        <v>187779.47959999999</v>
      </c>
      <c r="AI94" s="157">
        <v>616330.3639</v>
      </c>
    </row>
    <row r="95" spans="1:38" ht="35.1" customHeight="1" x14ac:dyDescent="0.2">
      <c r="A95" s="586" t="s">
        <v>208</v>
      </c>
      <c r="B95" s="586"/>
      <c r="C95" s="586"/>
      <c r="D95" s="586"/>
      <c r="E95" s="586"/>
      <c r="F95" s="586"/>
      <c r="G95" s="586"/>
      <c r="H95" s="586"/>
      <c r="I95" s="586"/>
      <c r="J95" s="586"/>
      <c r="K95" s="586"/>
      <c r="L95" s="5">
        <v>19872923.456599999</v>
      </c>
      <c r="M95" s="5">
        <v>2129349.17</v>
      </c>
      <c r="N95" s="5">
        <v>50000</v>
      </c>
      <c r="O95" s="5">
        <v>4848286.4726726497</v>
      </c>
      <c r="P95" s="5">
        <v>1546704.94732735</v>
      </c>
      <c r="Q95" s="5">
        <v>50000</v>
      </c>
      <c r="R95" s="5">
        <v>4617397.4126726501</v>
      </c>
      <c r="S95" s="5">
        <v>1488494.2873273499</v>
      </c>
      <c r="T95" s="5">
        <v>50000</v>
      </c>
      <c r="U95" s="5">
        <v>6155891.7000000002</v>
      </c>
      <c r="V95" s="166">
        <v>6133951.0580000002</v>
      </c>
      <c r="W95" s="5">
        <v>4423210.84</v>
      </c>
      <c r="X95" s="5">
        <v>4423210.84</v>
      </c>
      <c r="Y95" s="5">
        <v>1622977.65</v>
      </c>
      <c r="Z95" s="173">
        <v>4144757.9219999998</v>
      </c>
      <c r="AA95" s="5">
        <v>1690627.32</v>
      </c>
      <c r="AB95" s="5">
        <v>1583881.32</v>
      </c>
      <c r="AC95" s="5">
        <v>533644.60199999996</v>
      </c>
      <c r="AF95" s="5">
        <v>417000.2</v>
      </c>
      <c r="AG95" s="5">
        <v>1389289.6325000001</v>
      </c>
      <c r="AH95" s="5">
        <v>673318.18270089698</v>
      </c>
      <c r="AI95" s="157">
        <v>1703049.2067990999</v>
      </c>
    </row>
    <row r="96" spans="1:38" ht="35.1" customHeight="1" x14ac:dyDescent="0.2">
      <c r="A96" s="586" t="s">
        <v>478</v>
      </c>
      <c r="B96" s="586"/>
      <c r="C96" s="586"/>
      <c r="D96" s="586"/>
      <c r="E96" s="586"/>
      <c r="F96" s="586"/>
      <c r="G96" s="586"/>
      <c r="H96" s="586"/>
      <c r="I96" s="586"/>
      <c r="J96" s="586"/>
      <c r="K96" s="586"/>
      <c r="L96" s="5">
        <f>L95-L94</f>
        <v>1017697.9699999988</v>
      </c>
      <c r="M96" s="5">
        <f t="shared" ref="M96:AI96" si="28">M95-M94</f>
        <v>1046032</v>
      </c>
      <c r="N96" s="5">
        <f t="shared" si="28"/>
        <v>0</v>
      </c>
      <c r="O96" s="5">
        <f t="shared" si="28"/>
        <v>3682818.9626726499</v>
      </c>
      <c r="P96" s="5">
        <f t="shared" si="28"/>
        <v>1206299.2873273501</v>
      </c>
      <c r="Q96" s="5">
        <f t="shared" si="28"/>
        <v>0</v>
      </c>
      <c r="R96" s="5">
        <f t="shared" si="28"/>
        <v>3342619.85</v>
      </c>
      <c r="S96" s="5">
        <f t="shared" si="28"/>
        <v>1131671.6799999988</v>
      </c>
      <c r="T96" s="5">
        <f t="shared" si="28"/>
        <v>0</v>
      </c>
      <c r="U96" s="5">
        <f t="shared" si="28"/>
        <v>4331963.53</v>
      </c>
      <c r="V96" s="153">
        <f t="shared" si="28"/>
        <v>4310022.8880000003</v>
      </c>
      <c r="W96" s="5">
        <f t="shared" si="28"/>
        <v>2934631.6799999997</v>
      </c>
      <c r="X96" s="5">
        <f t="shared" si="28"/>
        <v>2934631.6799999997</v>
      </c>
      <c r="Y96" s="5">
        <f t="shared" si="28"/>
        <v>1287628.6399999999</v>
      </c>
      <c r="Z96" s="174">
        <f t="shared" si="28"/>
        <v>2908226.7859999998</v>
      </c>
      <c r="AA96" s="5">
        <f t="shared" si="28"/>
        <v>1024027.0000000001</v>
      </c>
      <c r="AB96" s="5">
        <f t="shared" si="28"/>
        <v>917281.00000000012</v>
      </c>
      <c r="AC96" s="5">
        <f t="shared" si="28"/>
        <v>-50157.554000000004</v>
      </c>
      <c r="AD96" s="5"/>
      <c r="AE96" s="5"/>
      <c r="AF96" s="5">
        <f t="shared" si="28"/>
        <v>364915.20000000001</v>
      </c>
      <c r="AG96" s="5">
        <f t="shared" si="28"/>
        <v>1000321.3400000001</v>
      </c>
      <c r="AH96" s="5">
        <f t="shared" si="28"/>
        <v>485538.70310089702</v>
      </c>
      <c r="AI96" s="157">
        <f t="shared" si="28"/>
        <v>1086718.8428990999</v>
      </c>
    </row>
    <row r="97" spans="1:11" ht="35.1" customHeight="1" x14ac:dyDescent="0.2">
      <c r="A97" s="586" t="s">
        <v>209</v>
      </c>
      <c r="B97" s="586"/>
      <c r="C97" s="586"/>
      <c r="D97" s="586"/>
      <c r="E97" s="586"/>
      <c r="F97" s="586"/>
      <c r="G97" s="586"/>
      <c r="H97" s="586"/>
      <c r="I97" s="586"/>
      <c r="J97" s="586"/>
      <c r="K97" s="586"/>
    </row>
    <row r="98" spans="1:11" ht="35.1" customHeight="1" x14ac:dyDescent="0.2">
      <c r="A98" s="586" t="s">
        <v>479</v>
      </c>
      <c r="B98" s="586"/>
      <c r="C98" s="586"/>
      <c r="D98" s="586"/>
      <c r="E98" s="586"/>
      <c r="F98" s="586"/>
      <c r="G98" s="586"/>
      <c r="H98" s="586"/>
      <c r="I98" s="586"/>
      <c r="J98" s="586"/>
      <c r="K98" s="586"/>
    </row>
  </sheetData>
  <mergeCells count="713">
    <mergeCell ref="AG33:AG34"/>
    <mergeCell ref="AH33:AH34"/>
    <mergeCell ref="AI33:AI34"/>
    <mergeCell ref="AJ33:AJ34"/>
    <mergeCell ref="Q33:Q34"/>
    <mergeCell ref="R33:R34"/>
    <mergeCell ref="S33:S34"/>
    <mergeCell ref="T33:T34"/>
    <mergeCell ref="U33:U34"/>
    <mergeCell ref="V33:V34"/>
    <mergeCell ref="Y33:Y34"/>
    <mergeCell ref="Z33:Z34"/>
    <mergeCell ref="AC33:AC34"/>
    <mergeCell ref="A33:A34"/>
    <mergeCell ref="B33:B34"/>
    <mergeCell ref="C33:C34"/>
    <mergeCell ref="D33:D34"/>
    <mergeCell ref="E33:E34"/>
    <mergeCell ref="F33:F34"/>
    <mergeCell ref="G33:G34"/>
    <mergeCell ref="H33:H34"/>
    <mergeCell ref="I33:I34"/>
    <mergeCell ref="Z48:Z50"/>
    <mergeCell ref="Z53:Z54"/>
    <mergeCell ref="Z51:Z52"/>
    <mergeCell ref="AI84:AI85"/>
    <mergeCell ref="AG84:AG85"/>
    <mergeCell ref="AC84:AC85"/>
    <mergeCell ref="AC80:AC81"/>
    <mergeCell ref="AC82:AC83"/>
    <mergeCell ref="AC61:AC62"/>
    <mergeCell ref="AC74:AC75"/>
    <mergeCell ref="AC55:AC57"/>
    <mergeCell ref="AC58:AC59"/>
    <mergeCell ref="AC48:AC50"/>
    <mergeCell ref="AC53:AC54"/>
    <mergeCell ref="AC51:AC52"/>
    <mergeCell ref="Z74:Z75"/>
    <mergeCell ref="Z58:Z59"/>
    <mergeCell ref="AH69:AH72"/>
    <mergeCell ref="AH74:AH75"/>
    <mergeCell ref="AH84:AH85"/>
    <mergeCell ref="Y78:Y79"/>
    <mergeCell ref="Y80:Y81"/>
    <mergeCell ref="Y82:Y83"/>
    <mergeCell ref="Y74:Y75"/>
    <mergeCell ref="R78:R79"/>
    <mergeCell ref="R80:R81"/>
    <mergeCell ref="R82:R83"/>
    <mergeCell ref="O80:O81"/>
    <mergeCell ref="M69:M72"/>
    <mergeCell ref="X74:X75"/>
    <mergeCell ref="W74:W75"/>
    <mergeCell ref="V74:V75"/>
    <mergeCell ref="U74:U75"/>
    <mergeCell ref="T74:T75"/>
    <mergeCell ref="P74:P75"/>
    <mergeCell ref="G5:G8"/>
    <mergeCell ref="G9:G13"/>
    <mergeCell ref="G14:G15"/>
    <mergeCell ref="G16:G17"/>
    <mergeCell ref="G18:G19"/>
    <mergeCell ref="G21:G24"/>
    <mergeCell ref="G25:G30"/>
    <mergeCell ref="O35:O39"/>
    <mergeCell ref="U51:U52"/>
    <mergeCell ref="H48:H64"/>
    <mergeCell ref="I40:I42"/>
    <mergeCell ref="I43:I44"/>
    <mergeCell ref="I45:I46"/>
    <mergeCell ref="I21:I24"/>
    <mergeCell ref="I25:I30"/>
    <mergeCell ref="I31:I32"/>
    <mergeCell ref="I35:I39"/>
    <mergeCell ref="T21:T24"/>
    <mergeCell ref="T31:T32"/>
    <mergeCell ref="Q31:Q32"/>
    <mergeCell ref="Q40:Q42"/>
    <mergeCell ref="P35:P39"/>
    <mergeCell ref="T48:T50"/>
    <mergeCell ref="S48:S50"/>
    <mergeCell ref="O7:O8"/>
    <mergeCell ref="O9:O11"/>
    <mergeCell ref="O14:O15"/>
    <mergeCell ref="O16:O17"/>
    <mergeCell ref="O18:O19"/>
    <mergeCell ref="O21:O24"/>
    <mergeCell ref="O31:O32"/>
    <mergeCell ref="L35:L39"/>
    <mergeCell ref="K45:K46"/>
    <mergeCell ref="K33:K34"/>
    <mergeCell ref="L33:L34"/>
    <mergeCell ref="M33:M34"/>
    <mergeCell ref="N33:N34"/>
    <mergeCell ref="O33:O34"/>
    <mergeCell ref="D53:D54"/>
    <mergeCell ref="D51:D52"/>
    <mergeCell ref="I48:I64"/>
    <mergeCell ref="D61:D62"/>
    <mergeCell ref="U53:U54"/>
    <mergeCell ref="R48:R50"/>
    <mergeCell ref="D55:D57"/>
    <mergeCell ref="R51:R52"/>
    <mergeCell ref="L53:L54"/>
    <mergeCell ref="M53:M54"/>
    <mergeCell ref="F58:F59"/>
    <mergeCell ref="Q58:Q59"/>
    <mergeCell ref="P58:P59"/>
    <mergeCell ref="O58:O59"/>
    <mergeCell ref="N58:N59"/>
    <mergeCell ref="M58:M59"/>
    <mergeCell ref="L58:L59"/>
    <mergeCell ref="T58:T59"/>
    <mergeCell ref="D48:D50"/>
    <mergeCell ref="N55:N57"/>
    <mergeCell ref="Q55:Q57"/>
    <mergeCell ref="T55:T57"/>
    <mergeCell ref="Y5:Y6"/>
    <mergeCell ref="Y7:Y8"/>
    <mergeCell ref="Y9:Y13"/>
    <mergeCell ref="Y14:Y15"/>
    <mergeCell ref="Y16:Y17"/>
    <mergeCell ref="Y18:Y19"/>
    <mergeCell ref="Y21:Y24"/>
    <mergeCell ref="V25:V28"/>
    <mergeCell ref="Q9:Q11"/>
    <mergeCell ref="Q14:Q15"/>
    <mergeCell ref="Q16:Q17"/>
    <mergeCell ref="Q21:Q24"/>
    <mergeCell ref="AK2:AK4"/>
    <mergeCell ref="AJ5:AJ6"/>
    <mergeCell ref="AJ9:AJ13"/>
    <mergeCell ref="AJ14:AJ15"/>
    <mergeCell ref="AJ16:AJ17"/>
    <mergeCell ref="AJ18:AJ19"/>
    <mergeCell ref="AJ25:AJ30"/>
    <mergeCell ref="AJ7:AJ8"/>
    <mergeCell ref="AI5:AI6"/>
    <mergeCell ref="AI7:AI8"/>
    <mergeCell ref="AI9:AI13"/>
    <mergeCell ref="AI14:AI15"/>
    <mergeCell ref="AI16:AI17"/>
    <mergeCell ref="AI18:AI19"/>
    <mergeCell ref="P5:P6"/>
    <mergeCell ref="P7:P8"/>
    <mergeCell ref="P9:P11"/>
    <mergeCell ref="P14:P15"/>
    <mergeCell ref="V29:V30"/>
    <mergeCell ref="AC5:AC6"/>
    <mergeCell ref="AC7:AC8"/>
    <mergeCell ref="AH5:AH6"/>
    <mergeCell ref="AH7:AH8"/>
    <mergeCell ref="S5:S6"/>
    <mergeCell ref="R5:R6"/>
    <mergeCell ref="V5:V6"/>
    <mergeCell ref="V7:V8"/>
    <mergeCell ref="V9:V13"/>
    <mergeCell ref="Z25:Z28"/>
    <mergeCell ref="Z29:Z30"/>
    <mergeCell ref="Y29:Y30"/>
    <mergeCell ref="P16:P17"/>
    <mergeCell ref="P21:P24"/>
    <mergeCell ref="AH9:AH13"/>
    <mergeCell ref="AH14:AH15"/>
    <mergeCell ref="AH16:AH17"/>
    <mergeCell ref="X18:X19"/>
    <mergeCell ref="W18:W19"/>
    <mergeCell ref="AJ86:AJ87"/>
    <mergeCell ref="AJ78:AJ79"/>
    <mergeCell ref="AJ80:AJ81"/>
    <mergeCell ref="AJ82:AJ83"/>
    <mergeCell ref="AI86:AI87"/>
    <mergeCell ref="AI82:AI83"/>
    <mergeCell ref="AI80:AI81"/>
    <mergeCell ref="AI78:AI79"/>
    <mergeCell ref="AG86:AG87"/>
    <mergeCell ref="AG82:AG83"/>
    <mergeCell ref="AG80:AG81"/>
    <mergeCell ref="AH78:AH79"/>
    <mergeCell ref="AG78:AG79"/>
    <mergeCell ref="AJ84:AJ85"/>
    <mergeCell ref="AH86:AH87"/>
    <mergeCell ref="AJ31:AJ32"/>
    <mergeCell ref="AJ40:AJ42"/>
    <mergeCell ref="AJ21:AJ24"/>
    <mergeCell ref="AJ69:AJ72"/>
    <mergeCell ref="AJ74:AJ75"/>
    <mergeCell ref="AJ35:AJ39"/>
    <mergeCell ref="AJ55:AJ57"/>
    <mergeCell ref="AJ58:AJ59"/>
    <mergeCell ref="AJ61:AJ62"/>
    <mergeCell ref="AJ48:AJ50"/>
    <mergeCell ref="AJ53:AJ54"/>
    <mergeCell ref="AJ51:AJ52"/>
    <mergeCell ref="AJ43:AJ44"/>
    <mergeCell ref="AJ45:AJ46"/>
    <mergeCell ref="AH25:AH28"/>
    <mergeCell ref="AH82:AH83"/>
    <mergeCell ref="AH80:AH81"/>
    <mergeCell ref="AI31:AI32"/>
    <mergeCell ref="AI35:AI39"/>
    <mergeCell ref="AI40:AI42"/>
    <mergeCell ref="AI21:AI24"/>
    <mergeCell ref="AI55:AI57"/>
    <mergeCell ref="AI61:AI62"/>
    <mergeCell ref="AI69:AI72"/>
    <mergeCell ref="AI74:AI75"/>
    <mergeCell ref="AI25:AI28"/>
    <mergeCell ref="AI43:AI44"/>
    <mergeCell ref="AI45:AI46"/>
    <mergeCell ref="AC86:AC87"/>
    <mergeCell ref="AD55:AD57"/>
    <mergeCell ref="AD61:AD62"/>
    <mergeCell ref="AE55:AE57"/>
    <mergeCell ref="AE61:AE62"/>
    <mergeCell ref="AF55:AF57"/>
    <mergeCell ref="AF61:AF62"/>
    <mergeCell ref="AG43:AG44"/>
    <mergeCell ref="AG45:AG46"/>
    <mergeCell ref="AG55:AG57"/>
    <mergeCell ref="AG61:AG62"/>
    <mergeCell ref="AG69:AG72"/>
    <mergeCell ref="AG74:AG75"/>
    <mergeCell ref="AC69:AC72"/>
    <mergeCell ref="AC78:AC79"/>
    <mergeCell ref="AC35:AC39"/>
    <mergeCell ref="AC40:AC42"/>
    <mergeCell ref="AC43:AC44"/>
    <mergeCell ref="AC45:AC46"/>
    <mergeCell ref="AH55:AH57"/>
    <mergeCell ref="AH61:AH62"/>
    <mergeCell ref="AG5:AG6"/>
    <mergeCell ref="AG7:AG8"/>
    <mergeCell ref="AG9:AG13"/>
    <mergeCell ref="AG14:AG15"/>
    <mergeCell ref="AG16:AG17"/>
    <mergeCell ref="AG18:AG19"/>
    <mergeCell ref="AG31:AG32"/>
    <mergeCell ref="AG35:AG39"/>
    <mergeCell ref="AG40:AG42"/>
    <mergeCell ref="AG21:AG24"/>
    <mergeCell ref="AG25:AG28"/>
    <mergeCell ref="AH18:AH19"/>
    <mergeCell ref="AH31:AH32"/>
    <mergeCell ref="AH35:AH39"/>
    <mergeCell ref="AH40:AH42"/>
    <mergeCell ref="AH43:AH44"/>
    <mergeCell ref="AH45:AH46"/>
    <mergeCell ref="AH21:AH24"/>
    <mergeCell ref="AA16:AA17"/>
    <mergeCell ref="AB16:AB17"/>
    <mergeCell ref="AC9:AC13"/>
    <mergeCell ref="AC14:AC15"/>
    <mergeCell ref="AC16:AC17"/>
    <mergeCell ref="AC18:AC19"/>
    <mergeCell ref="AC21:AC24"/>
    <mergeCell ref="AC31:AC32"/>
    <mergeCell ref="AC25:AC28"/>
    <mergeCell ref="AB18:AB19"/>
    <mergeCell ref="AA18:AA19"/>
    <mergeCell ref="Y84:Y85"/>
    <mergeCell ref="Y86:Y87"/>
    <mergeCell ref="Z3:Z4"/>
    <mergeCell ref="Z5:Z6"/>
    <mergeCell ref="Z7:Z8"/>
    <mergeCell ref="Z9:Z13"/>
    <mergeCell ref="Z14:Z15"/>
    <mergeCell ref="Z16:Z17"/>
    <mergeCell ref="Z18:Z19"/>
    <mergeCell ref="Z21:Z24"/>
    <mergeCell ref="Z31:Z32"/>
    <mergeCell ref="Z35:Z39"/>
    <mergeCell ref="Z40:Z42"/>
    <mergeCell ref="Z43:Z44"/>
    <mergeCell ref="Z45:Z46"/>
    <mergeCell ref="Z55:Z57"/>
    <mergeCell ref="Z61:Z62"/>
    <mergeCell ref="Z69:Z72"/>
    <mergeCell ref="Z78:Z79"/>
    <mergeCell ref="Z80:Z81"/>
    <mergeCell ref="Z82:Z83"/>
    <mergeCell ref="Z84:Z85"/>
    <mergeCell ref="Z86:Z87"/>
    <mergeCell ref="Y40:Y42"/>
    <mergeCell ref="Y31:Y32"/>
    <mergeCell ref="Y35:Y39"/>
    <mergeCell ref="Y25:Y28"/>
    <mergeCell ref="Y53:Y54"/>
    <mergeCell ref="Y51:Y52"/>
    <mergeCell ref="Y55:Y57"/>
    <mergeCell ref="Y61:Y62"/>
    <mergeCell ref="Y69:Y72"/>
    <mergeCell ref="Y43:Y44"/>
    <mergeCell ref="Y45:Y46"/>
    <mergeCell ref="Y58:Y59"/>
    <mergeCell ref="Y48:Y50"/>
    <mergeCell ref="V84:V85"/>
    <mergeCell ref="V86:V87"/>
    <mergeCell ref="W14:W15"/>
    <mergeCell ref="W16:W17"/>
    <mergeCell ref="W69:W72"/>
    <mergeCell ref="X14:X15"/>
    <mergeCell ref="X16:X17"/>
    <mergeCell ref="X69:X72"/>
    <mergeCell ref="V40:V42"/>
    <mergeCell ref="V43:V44"/>
    <mergeCell ref="V45:V46"/>
    <mergeCell ref="V55:V57"/>
    <mergeCell ref="V61:V62"/>
    <mergeCell ref="V69:V72"/>
    <mergeCell ref="V78:V79"/>
    <mergeCell ref="V80:V81"/>
    <mergeCell ref="V82:V83"/>
    <mergeCell ref="V14:V15"/>
    <mergeCell ref="V16:V17"/>
    <mergeCell ref="V18:V19"/>
    <mergeCell ref="V48:V50"/>
    <mergeCell ref="V53:V54"/>
    <mergeCell ref="V51:V52"/>
    <mergeCell ref="V21:V24"/>
    <mergeCell ref="T86:T87"/>
    <mergeCell ref="U5:U6"/>
    <mergeCell ref="U7:U8"/>
    <mergeCell ref="U14:U15"/>
    <mergeCell ref="U16:U17"/>
    <mergeCell ref="U21:U24"/>
    <mergeCell ref="U31:U32"/>
    <mergeCell ref="U40:U42"/>
    <mergeCell ref="U43:U44"/>
    <mergeCell ref="U45:U46"/>
    <mergeCell ref="U55:U57"/>
    <mergeCell ref="U61:U62"/>
    <mergeCell ref="U69:U72"/>
    <mergeCell ref="U78:U79"/>
    <mergeCell ref="U80:U81"/>
    <mergeCell ref="U82:U83"/>
    <mergeCell ref="U84:U85"/>
    <mergeCell ref="U86:U87"/>
    <mergeCell ref="T53:T54"/>
    <mergeCell ref="T51:T52"/>
    <mergeCell ref="U35:U39"/>
    <mergeCell ref="U18:U19"/>
    <mergeCell ref="T14:T15"/>
    <mergeCell ref="T16:T17"/>
    <mergeCell ref="R84:R85"/>
    <mergeCell ref="R86:R87"/>
    <mergeCell ref="S7:S8"/>
    <mergeCell ref="S14:S15"/>
    <mergeCell ref="S16:S17"/>
    <mergeCell ref="S21:S24"/>
    <mergeCell ref="S31:S32"/>
    <mergeCell ref="S40:S42"/>
    <mergeCell ref="S43:S44"/>
    <mergeCell ref="S45:S46"/>
    <mergeCell ref="S55:S57"/>
    <mergeCell ref="S61:S62"/>
    <mergeCell ref="S69:S72"/>
    <mergeCell ref="S86:S87"/>
    <mergeCell ref="R7:R8"/>
    <mergeCell ref="R14:R15"/>
    <mergeCell ref="R16:R17"/>
    <mergeCell ref="R21:R24"/>
    <mergeCell ref="R31:R32"/>
    <mergeCell ref="R40:R42"/>
    <mergeCell ref="R55:R57"/>
    <mergeCell ref="S74:S75"/>
    <mergeCell ref="R74:R75"/>
    <mergeCell ref="S51:S52"/>
    <mergeCell ref="Q84:Q85"/>
    <mergeCell ref="Q86:Q87"/>
    <mergeCell ref="Q74:Q75"/>
    <mergeCell ref="Q48:Q50"/>
    <mergeCell ref="Q35:Q39"/>
    <mergeCell ref="Q53:Q54"/>
    <mergeCell ref="Q51:Q52"/>
    <mergeCell ref="O86:O87"/>
    <mergeCell ref="P40:P42"/>
    <mergeCell ref="P43:P44"/>
    <mergeCell ref="P45:P46"/>
    <mergeCell ref="P55:P57"/>
    <mergeCell ref="P61:P62"/>
    <mergeCell ref="P69:P72"/>
    <mergeCell ref="P84:P85"/>
    <mergeCell ref="P86:P87"/>
    <mergeCell ref="O43:O44"/>
    <mergeCell ref="O45:O46"/>
    <mergeCell ref="O55:O57"/>
    <mergeCell ref="O61:O62"/>
    <mergeCell ref="O69:O72"/>
    <mergeCell ref="O82:O83"/>
    <mergeCell ref="O84:O85"/>
    <mergeCell ref="O78:O79"/>
    <mergeCell ref="M84:M85"/>
    <mergeCell ref="M86:M87"/>
    <mergeCell ref="N3:N4"/>
    <mergeCell ref="N9:N11"/>
    <mergeCell ref="N14:N15"/>
    <mergeCell ref="N16:N17"/>
    <mergeCell ref="N21:N24"/>
    <mergeCell ref="N31:N32"/>
    <mergeCell ref="N40:N42"/>
    <mergeCell ref="N69:N72"/>
    <mergeCell ref="N84:N85"/>
    <mergeCell ref="N86:N87"/>
    <mergeCell ref="M5:M6"/>
    <mergeCell ref="M7:M8"/>
    <mergeCell ref="M9:M11"/>
    <mergeCell ref="M14:M15"/>
    <mergeCell ref="M16:M17"/>
    <mergeCell ref="M21:M24"/>
    <mergeCell ref="M31:M32"/>
    <mergeCell ref="M43:M44"/>
    <mergeCell ref="N18:N19"/>
    <mergeCell ref="M18:M19"/>
    <mergeCell ref="N35:N39"/>
    <mergeCell ref="M35:M39"/>
    <mergeCell ref="O5:O6"/>
    <mergeCell ref="L76:N76"/>
    <mergeCell ref="K69:K72"/>
    <mergeCell ref="K74:K75"/>
    <mergeCell ref="K78:K85"/>
    <mergeCell ref="K86:K92"/>
    <mergeCell ref="L3:L4"/>
    <mergeCell ref="L5:L6"/>
    <mergeCell ref="L7:L8"/>
    <mergeCell ref="L9:L11"/>
    <mergeCell ref="L14:L15"/>
    <mergeCell ref="L16:L17"/>
    <mergeCell ref="L21:L24"/>
    <mergeCell ref="L31:L32"/>
    <mergeCell ref="L40:L42"/>
    <mergeCell ref="L43:L44"/>
    <mergeCell ref="L45:L46"/>
    <mergeCell ref="L55:L57"/>
    <mergeCell ref="L61:L62"/>
    <mergeCell ref="L69:L72"/>
    <mergeCell ref="L86:L87"/>
    <mergeCell ref="K43:K44"/>
    <mergeCell ref="L78:L83"/>
    <mergeCell ref="L84:L85"/>
    <mergeCell ref="K65:K68"/>
    <mergeCell ref="J35:J39"/>
    <mergeCell ref="J40:J42"/>
    <mergeCell ref="J43:J44"/>
    <mergeCell ref="J45:J46"/>
    <mergeCell ref="K9:K13"/>
    <mergeCell ref="K14:K15"/>
    <mergeCell ref="K16:K17"/>
    <mergeCell ref="K18:K19"/>
    <mergeCell ref="K21:K24"/>
    <mergeCell ref="K25:K30"/>
    <mergeCell ref="K31:K32"/>
    <mergeCell ref="K35:K39"/>
    <mergeCell ref="K40:K42"/>
    <mergeCell ref="J48:J64"/>
    <mergeCell ref="K48:K64"/>
    <mergeCell ref="J33:J34"/>
    <mergeCell ref="I65:I68"/>
    <mergeCell ref="I69:I72"/>
    <mergeCell ref="I74:I75"/>
    <mergeCell ref="I78:I85"/>
    <mergeCell ref="I86:I92"/>
    <mergeCell ref="J3:J4"/>
    <mergeCell ref="J5:J8"/>
    <mergeCell ref="J9:J13"/>
    <mergeCell ref="J14:J15"/>
    <mergeCell ref="J16:J17"/>
    <mergeCell ref="J18:J19"/>
    <mergeCell ref="J21:J24"/>
    <mergeCell ref="J25:J30"/>
    <mergeCell ref="J31:J32"/>
    <mergeCell ref="J65:J68"/>
    <mergeCell ref="J69:J72"/>
    <mergeCell ref="J74:J75"/>
    <mergeCell ref="J78:J85"/>
    <mergeCell ref="J86:J92"/>
    <mergeCell ref="I5:I8"/>
    <mergeCell ref="I9:I13"/>
    <mergeCell ref="I14:I15"/>
    <mergeCell ref="I16:I17"/>
    <mergeCell ref="I18:I19"/>
    <mergeCell ref="G86:G92"/>
    <mergeCell ref="H3:H4"/>
    <mergeCell ref="H5:H8"/>
    <mergeCell ref="H9:H13"/>
    <mergeCell ref="H14:H15"/>
    <mergeCell ref="H16:H17"/>
    <mergeCell ref="H18:H19"/>
    <mergeCell ref="H21:H24"/>
    <mergeCell ref="H25:H30"/>
    <mergeCell ref="H31:H32"/>
    <mergeCell ref="H35:H39"/>
    <mergeCell ref="H40:H42"/>
    <mergeCell ref="H43:H44"/>
    <mergeCell ref="H45:H46"/>
    <mergeCell ref="H65:H68"/>
    <mergeCell ref="G31:G32"/>
    <mergeCell ref="G35:G39"/>
    <mergeCell ref="G40:G42"/>
    <mergeCell ref="G43:G44"/>
    <mergeCell ref="G45:G46"/>
    <mergeCell ref="H69:H72"/>
    <mergeCell ref="H74:H75"/>
    <mergeCell ref="H78:H85"/>
    <mergeCell ref="H86:H92"/>
    <mergeCell ref="G65:G68"/>
    <mergeCell ref="G69:G72"/>
    <mergeCell ref="G74:G75"/>
    <mergeCell ref="G78:G85"/>
    <mergeCell ref="F48:F50"/>
    <mergeCell ref="G48:G64"/>
    <mergeCell ref="F82:F83"/>
    <mergeCell ref="E74:E75"/>
    <mergeCell ref="E78:E83"/>
    <mergeCell ref="F84:F85"/>
    <mergeCell ref="E48:E64"/>
    <mergeCell ref="F53:F54"/>
    <mergeCell ref="F51:F52"/>
    <mergeCell ref="D43:D44"/>
    <mergeCell ref="D11:D13"/>
    <mergeCell ref="F86:F87"/>
    <mergeCell ref="E86:E92"/>
    <mergeCell ref="F74:F75"/>
    <mergeCell ref="F78:F79"/>
    <mergeCell ref="F3:F4"/>
    <mergeCell ref="F5:F6"/>
    <mergeCell ref="F7:F8"/>
    <mergeCell ref="F9:F13"/>
    <mergeCell ref="F14:F15"/>
    <mergeCell ref="F16:F17"/>
    <mergeCell ref="F18:F19"/>
    <mergeCell ref="F21:F24"/>
    <mergeCell ref="F31:F32"/>
    <mergeCell ref="F35:F39"/>
    <mergeCell ref="F40:F42"/>
    <mergeCell ref="F43:F44"/>
    <mergeCell ref="F45:F46"/>
    <mergeCell ref="F55:F57"/>
    <mergeCell ref="F61:F62"/>
    <mergeCell ref="F69:F72"/>
    <mergeCell ref="F80:F81"/>
    <mergeCell ref="D45:D46"/>
    <mergeCell ref="C31:C32"/>
    <mergeCell ref="C55:C59"/>
    <mergeCell ref="C60:C62"/>
    <mergeCell ref="D80:D81"/>
    <mergeCell ref="D82:D83"/>
    <mergeCell ref="D84:D85"/>
    <mergeCell ref="D86:D87"/>
    <mergeCell ref="E3:E4"/>
    <mergeCell ref="E5:E8"/>
    <mergeCell ref="E9:E13"/>
    <mergeCell ref="E14:E15"/>
    <mergeCell ref="E16:E17"/>
    <mergeCell ref="E18:E19"/>
    <mergeCell ref="E21:E24"/>
    <mergeCell ref="E25:E30"/>
    <mergeCell ref="E31:E32"/>
    <mergeCell ref="E35:E39"/>
    <mergeCell ref="E40:E42"/>
    <mergeCell ref="E43:E44"/>
    <mergeCell ref="E45:E46"/>
    <mergeCell ref="E65:E67"/>
    <mergeCell ref="E69:E72"/>
    <mergeCell ref="E84:E85"/>
    <mergeCell ref="D58:D59"/>
    <mergeCell ref="A96:K96"/>
    <mergeCell ref="A97:K97"/>
    <mergeCell ref="A95:K95"/>
    <mergeCell ref="B48:B64"/>
    <mergeCell ref="D69:D72"/>
    <mergeCell ref="D74:D75"/>
    <mergeCell ref="D78:D79"/>
    <mergeCell ref="C3:C4"/>
    <mergeCell ref="C5:C8"/>
    <mergeCell ref="C9:C12"/>
    <mergeCell ref="C14:C15"/>
    <mergeCell ref="C16:C17"/>
    <mergeCell ref="D5:D6"/>
    <mergeCell ref="D7:D8"/>
    <mergeCell ref="D9:D10"/>
    <mergeCell ref="D14:D15"/>
    <mergeCell ref="D16:D17"/>
    <mergeCell ref="D21:D24"/>
    <mergeCell ref="D31:D32"/>
    <mergeCell ref="D35:D39"/>
    <mergeCell ref="D40:D42"/>
    <mergeCell ref="C18:C19"/>
    <mergeCell ref="C21:C24"/>
    <mergeCell ref="C25:C30"/>
    <mergeCell ref="A98:K98"/>
    <mergeCell ref="A2:A4"/>
    <mergeCell ref="A5:A8"/>
    <mergeCell ref="A9:A13"/>
    <mergeCell ref="A14:A15"/>
    <mergeCell ref="A16:A17"/>
    <mergeCell ref="A18:A19"/>
    <mergeCell ref="A21:A24"/>
    <mergeCell ref="A25:A30"/>
    <mergeCell ref="A31:A32"/>
    <mergeCell ref="A35:A39"/>
    <mergeCell ref="A40:A42"/>
    <mergeCell ref="A43:A44"/>
    <mergeCell ref="A45:A46"/>
    <mergeCell ref="A65:A68"/>
    <mergeCell ref="B5:B8"/>
    <mergeCell ref="K5:K8"/>
    <mergeCell ref="A69:A72"/>
    <mergeCell ref="A74:A75"/>
    <mergeCell ref="A78:A85"/>
    <mergeCell ref="A86:A92"/>
    <mergeCell ref="B9:B13"/>
    <mergeCell ref="A93:K93"/>
    <mergeCell ref="A94:K94"/>
    <mergeCell ref="B14:B15"/>
    <mergeCell ref="B16:B17"/>
    <mergeCell ref="B18:B19"/>
    <mergeCell ref="B21:B24"/>
    <mergeCell ref="B31:B32"/>
    <mergeCell ref="B35:B39"/>
    <mergeCell ref="B25:B28"/>
    <mergeCell ref="B29:B30"/>
    <mergeCell ref="B40:B42"/>
    <mergeCell ref="B43:B44"/>
    <mergeCell ref="B45:B46"/>
    <mergeCell ref="B65:B68"/>
    <mergeCell ref="B69:B72"/>
    <mergeCell ref="B74:B75"/>
    <mergeCell ref="B78:B85"/>
    <mergeCell ref="B86:B92"/>
    <mergeCell ref="A48:A64"/>
    <mergeCell ref="C35:C39"/>
    <mergeCell ref="C40:C42"/>
    <mergeCell ref="C43:C44"/>
    <mergeCell ref="C45:C46"/>
    <mergeCell ref="C65:C67"/>
    <mergeCell ref="C69:C72"/>
    <mergeCell ref="C74:C75"/>
    <mergeCell ref="C48:C54"/>
    <mergeCell ref="C78:C83"/>
    <mergeCell ref="C84:C85"/>
    <mergeCell ref="C86:C87"/>
    <mergeCell ref="A1:AJ1"/>
    <mergeCell ref="B2:F2"/>
    <mergeCell ref="G2:K2"/>
    <mergeCell ref="L2:N2"/>
    <mergeCell ref="O2:Q2"/>
    <mergeCell ref="R2:Y2"/>
    <mergeCell ref="Z2:AI2"/>
    <mergeCell ref="R3:U3"/>
    <mergeCell ref="W3:Y3"/>
    <mergeCell ref="AA3:AC3"/>
    <mergeCell ref="AD3:AH3"/>
    <mergeCell ref="B3:B4"/>
    <mergeCell ref="K3:K4"/>
    <mergeCell ref="M3:M4"/>
    <mergeCell ref="O3:O4"/>
    <mergeCell ref="Q3:Q4"/>
    <mergeCell ref="V3:V4"/>
    <mergeCell ref="AI3:AI4"/>
    <mergeCell ref="AJ2:AJ4"/>
    <mergeCell ref="D3:D4"/>
    <mergeCell ref="G3:G4"/>
    <mergeCell ref="I3:I4"/>
    <mergeCell ref="P3:P4"/>
    <mergeCell ref="P18:P19"/>
    <mergeCell ref="O40:O42"/>
    <mergeCell ref="Q69:Q72"/>
    <mergeCell ref="P31:P32"/>
    <mergeCell ref="T40:T42"/>
    <mergeCell ref="T69:T72"/>
    <mergeCell ref="S53:S54"/>
    <mergeCell ref="R53:R54"/>
    <mergeCell ref="L74:L75"/>
    <mergeCell ref="M74:M75"/>
    <mergeCell ref="N74:N75"/>
    <mergeCell ref="R69:R72"/>
    <mergeCell ref="O74:O75"/>
    <mergeCell ref="R18:R19"/>
    <mergeCell ref="M45:M46"/>
    <mergeCell ref="R35:R39"/>
    <mergeCell ref="T18:T19"/>
    <mergeCell ref="S18:S19"/>
    <mergeCell ref="R43:R44"/>
    <mergeCell ref="R45:R46"/>
    <mergeCell ref="Q18:Q19"/>
    <mergeCell ref="R58:R59"/>
    <mergeCell ref="S58:S59"/>
    <mergeCell ref="M48:M50"/>
    <mergeCell ref="V31:V32"/>
    <mergeCell ref="V35:V39"/>
    <mergeCell ref="M55:M57"/>
    <mergeCell ref="M61:M62"/>
    <mergeCell ref="M40:M42"/>
    <mergeCell ref="O48:O50"/>
    <mergeCell ref="N48:N50"/>
    <mergeCell ref="M51:M52"/>
    <mergeCell ref="L51:L52"/>
    <mergeCell ref="P48:P50"/>
    <mergeCell ref="R61:R62"/>
    <mergeCell ref="P53:P54"/>
    <mergeCell ref="P51:P52"/>
    <mergeCell ref="O53:O54"/>
    <mergeCell ref="O51:O52"/>
    <mergeCell ref="N53:N54"/>
    <mergeCell ref="N51:N52"/>
    <mergeCell ref="T35:T39"/>
    <mergeCell ref="S35:S39"/>
    <mergeCell ref="V58:V59"/>
    <mergeCell ref="U58:U59"/>
    <mergeCell ref="L48:L50"/>
    <mergeCell ref="U48:U50"/>
    <mergeCell ref="P33:P34"/>
  </mergeCells>
  <phoneticPr fontId="37" type="noConversion"/>
  <conditionalFormatting sqref="R5:R35 R40:R92">
    <cfRule type="cellIs" dxfId="30" priority="6" operator="between">
      <formula>1000000</formula>
      <formula>2000000</formula>
    </cfRule>
    <cfRule type="cellIs" dxfId="29" priority="7" operator="greaterThan">
      <formula>2000000</formula>
    </cfRule>
  </conditionalFormatting>
  <conditionalFormatting sqref="V5:V92">
    <cfRule type="cellIs" dxfId="28" priority="2" operator="between">
      <formula>1000000</formula>
      <formula>2000000</formula>
    </cfRule>
    <cfRule type="cellIs" dxfId="27" priority="3" operator="greaterThan">
      <formula>2000000</formula>
    </cfRule>
  </conditionalFormatting>
  <conditionalFormatting sqref="Y1:Y3 Y101:Y1048576">
    <cfRule type="cellIs" dxfId="26" priority="10" operator="greaterThan">
      <formula>0</formula>
    </cfRule>
  </conditionalFormatting>
  <conditionalFormatting sqref="Y5:Y92">
    <cfRule type="cellIs" dxfId="25" priority="1" operator="greaterThan">
      <formula>0</formula>
    </cfRule>
  </conditionalFormatting>
  <conditionalFormatting sqref="Y60">
    <cfRule type="expression" dxfId="24" priority="14">
      <formula>"="</formula>
    </cfRule>
  </conditionalFormatting>
  <printOptions horizontalCentered="1"/>
  <pageMargins left="0.43307086614173201" right="0.39370078740157499" top="0.39370078740157499" bottom="0.39370078740157499" header="0.196850393700787" footer="0.23622047244094499"/>
  <pageSetup paperSize="8" scale="80" fitToWidth="0" fitToHeight="0" orientation="landscape" r:id="rId1"/>
  <headerFooter alignWithMargins="0"/>
  <ignoredErrors>
    <ignoredError sqref="AK26:AK28" evalError="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57"/>
  <sheetViews>
    <sheetView zoomScale="85" zoomScaleNormal="85" workbookViewId="0">
      <pane xSplit="4" ySplit="4" topLeftCell="R41" activePane="bottomRight" state="frozen"/>
      <selection pane="topRight" activeCell="E1" sqref="E1"/>
      <selection pane="bottomLeft" activeCell="A5" sqref="A5"/>
      <selection pane="bottomRight" activeCell="R50" sqref="R50"/>
    </sheetView>
  </sheetViews>
  <sheetFormatPr defaultColWidth="9.140625" defaultRowHeight="24.95" customHeight="1" x14ac:dyDescent="0.2"/>
  <cols>
    <col min="1" max="1" width="3.7109375" style="1" customWidth="1"/>
    <col min="2" max="2" width="50.7109375" style="298" customWidth="1"/>
    <col min="3" max="3" width="8.28515625" style="298" customWidth="1"/>
    <col min="4" max="4" width="25.7109375" style="298" customWidth="1"/>
    <col min="5" max="5" width="10.7109375" style="3" customWidth="1"/>
    <col min="6" max="7" width="15.7109375" style="3" customWidth="1"/>
    <col min="8" max="8" width="8.28515625" style="3" customWidth="1"/>
    <col min="9" max="9" width="10.7109375" style="4" customWidth="1"/>
    <col min="10" max="11" width="8.28515625" style="4" customWidth="1"/>
    <col min="12" max="21" width="15.7109375" style="5" customWidth="1"/>
    <col min="22" max="22" width="15.7109375" style="153" customWidth="1"/>
    <col min="23" max="25" width="15.7109375" style="5" customWidth="1"/>
    <col min="26" max="26" width="15.7109375" style="160" customWidth="1"/>
    <col min="27" max="29" width="15.7109375" style="5" customWidth="1"/>
    <col min="30" max="31" width="10.7109375" style="8" customWidth="1"/>
    <col min="32" max="34" width="15.7109375" style="5" customWidth="1"/>
    <col min="35" max="35" width="15.7109375" style="166" customWidth="1"/>
    <col min="36" max="36" width="20.7109375" style="3" customWidth="1"/>
    <col min="37" max="38" width="10.7109375" style="252" customWidth="1"/>
    <col min="39" max="39" width="12.85546875" style="1" customWidth="1"/>
    <col min="40" max="16384" width="9.140625" style="1"/>
  </cols>
  <sheetData>
    <row r="1" spans="1:38" ht="30" customHeight="1" x14ac:dyDescent="0.2">
      <c r="A1" s="585" t="s">
        <v>1080</v>
      </c>
      <c r="B1" s="586"/>
      <c r="C1" s="586"/>
      <c r="D1" s="586"/>
      <c r="E1" s="586"/>
      <c r="F1" s="586"/>
      <c r="G1" s="586"/>
      <c r="H1" s="586"/>
      <c r="I1" s="586"/>
      <c r="J1" s="586"/>
      <c r="K1" s="586"/>
      <c r="L1" s="586"/>
      <c r="M1" s="586"/>
      <c r="N1" s="586"/>
      <c r="O1" s="586"/>
      <c r="P1" s="586"/>
      <c r="Q1" s="586"/>
      <c r="R1" s="586"/>
      <c r="S1" s="586"/>
      <c r="T1" s="586"/>
      <c r="U1" s="586"/>
      <c r="V1" s="586"/>
      <c r="W1" s="586"/>
      <c r="X1" s="586"/>
      <c r="Y1" s="586"/>
      <c r="Z1" s="586"/>
      <c r="AA1" s="586"/>
      <c r="AB1" s="586"/>
      <c r="AC1" s="586"/>
      <c r="AD1" s="586"/>
      <c r="AE1" s="586"/>
      <c r="AF1" s="586"/>
      <c r="AG1" s="586"/>
      <c r="AH1" s="586"/>
      <c r="AI1" s="586"/>
      <c r="AJ1" s="586"/>
    </row>
    <row r="2" spans="1:38" ht="24.95" customHeight="1" x14ac:dyDescent="0.2">
      <c r="A2" s="530" t="s">
        <v>1</v>
      </c>
      <c r="B2" s="446" t="s">
        <v>2</v>
      </c>
      <c r="C2" s="446"/>
      <c r="D2" s="446"/>
      <c r="E2" s="446"/>
      <c r="F2" s="446"/>
      <c r="G2" s="587" t="s">
        <v>210</v>
      </c>
      <c r="H2" s="588"/>
      <c r="I2" s="588"/>
      <c r="J2" s="588"/>
      <c r="K2" s="589"/>
      <c r="L2" s="405" t="s">
        <v>211</v>
      </c>
      <c r="M2" s="405"/>
      <c r="N2" s="405"/>
      <c r="O2" s="405" t="s">
        <v>4</v>
      </c>
      <c r="P2" s="405"/>
      <c r="Q2" s="405"/>
      <c r="R2" s="590" t="s">
        <v>3</v>
      </c>
      <c r="S2" s="590"/>
      <c r="T2" s="590"/>
      <c r="U2" s="590"/>
      <c r="V2" s="590"/>
      <c r="W2" s="590"/>
      <c r="X2" s="590"/>
      <c r="Y2" s="591"/>
      <c r="Z2" s="592" t="s">
        <v>212</v>
      </c>
      <c r="AA2" s="593"/>
      <c r="AB2" s="593"/>
      <c r="AC2" s="593"/>
      <c r="AD2" s="593"/>
      <c r="AE2" s="593"/>
      <c r="AF2" s="593"/>
      <c r="AG2" s="593"/>
      <c r="AH2" s="593"/>
      <c r="AI2" s="594"/>
      <c r="AJ2" s="606" t="s">
        <v>8</v>
      </c>
      <c r="AK2" s="545"/>
    </row>
    <row r="3" spans="1:38" ht="24.95" customHeight="1" x14ac:dyDescent="0.2">
      <c r="A3" s="456"/>
      <c r="B3" s="532" t="s">
        <v>9</v>
      </c>
      <c r="C3" s="532" t="s">
        <v>213</v>
      </c>
      <c r="D3" s="532" t="s">
        <v>10</v>
      </c>
      <c r="E3" s="427" t="s">
        <v>214</v>
      </c>
      <c r="F3" s="427" t="s">
        <v>11</v>
      </c>
      <c r="G3" s="427" t="s">
        <v>12</v>
      </c>
      <c r="H3" s="427" t="s">
        <v>13</v>
      </c>
      <c r="I3" s="429" t="s">
        <v>14</v>
      </c>
      <c r="J3" s="466" t="s">
        <v>15</v>
      </c>
      <c r="K3" s="466" t="s">
        <v>16</v>
      </c>
      <c r="L3" s="407" t="s">
        <v>17</v>
      </c>
      <c r="M3" s="407" t="s">
        <v>18</v>
      </c>
      <c r="N3" s="407" t="s">
        <v>276</v>
      </c>
      <c r="O3" s="407" t="s">
        <v>17</v>
      </c>
      <c r="P3" s="407" t="s">
        <v>18</v>
      </c>
      <c r="Q3" s="407" t="s">
        <v>276</v>
      </c>
      <c r="R3" s="595" t="s">
        <v>655</v>
      </c>
      <c r="S3" s="595"/>
      <c r="T3" s="595"/>
      <c r="U3" s="595"/>
      <c r="V3" s="700" t="s">
        <v>219</v>
      </c>
      <c r="W3" s="596" t="s">
        <v>5</v>
      </c>
      <c r="X3" s="596"/>
      <c r="Y3" s="597"/>
      <c r="Z3" s="657" t="s">
        <v>220</v>
      </c>
      <c r="AA3" s="598" t="s">
        <v>217</v>
      </c>
      <c r="AB3" s="598"/>
      <c r="AC3" s="599"/>
      <c r="AD3" s="600" t="s">
        <v>6</v>
      </c>
      <c r="AE3" s="598"/>
      <c r="AF3" s="598"/>
      <c r="AG3" s="598"/>
      <c r="AH3" s="599"/>
      <c r="AI3" s="604" t="s">
        <v>7</v>
      </c>
      <c r="AJ3" s="607"/>
      <c r="AK3" s="545"/>
    </row>
    <row r="4" spans="1:38" ht="24.95" customHeight="1" thickBot="1" x14ac:dyDescent="0.25">
      <c r="A4" s="457"/>
      <c r="B4" s="601"/>
      <c r="C4" s="601"/>
      <c r="D4" s="601"/>
      <c r="E4" s="428"/>
      <c r="F4" s="428"/>
      <c r="G4" s="428"/>
      <c r="H4" s="428"/>
      <c r="I4" s="430"/>
      <c r="J4" s="467"/>
      <c r="K4" s="467"/>
      <c r="L4" s="408"/>
      <c r="M4" s="699"/>
      <c r="N4" s="699"/>
      <c r="O4" s="699"/>
      <c r="P4" s="699"/>
      <c r="Q4" s="699"/>
      <c r="R4" s="27" t="s">
        <v>17</v>
      </c>
      <c r="S4" s="27" t="s">
        <v>18</v>
      </c>
      <c r="T4" s="27" t="s">
        <v>276</v>
      </c>
      <c r="U4" s="27" t="s">
        <v>318</v>
      </c>
      <c r="V4" s="701"/>
      <c r="W4" s="27" t="s">
        <v>319</v>
      </c>
      <c r="X4" s="27" t="s">
        <v>19</v>
      </c>
      <c r="Y4" s="27" t="s">
        <v>20</v>
      </c>
      <c r="Z4" s="720"/>
      <c r="AA4" s="33" t="s">
        <v>319</v>
      </c>
      <c r="AB4" s="33" t="s">
        <v>221</v>
      </c>
      <c r="AC4" s="33" t="s">
        <v>20</v>
      </c>
      <c r="AD4" s="34" t="s">
        <v>21</v>
      </c>
      <c r="AE4" s="34" t="s">
        <v>22</v>
      </c>
      <c r="AF4" s="33" t="s">
        <v>23</v>
      </c>
      <c r="AG4" s="33" t="s">
        <v>24</v>
      </c>
      <c r="AH4" s="33" t="s">
        <v>25</v>
      </c>
      <c r="AI4" s="723"/>
      <c r="AJ4" s="608"/>
      <c r="AK4" s="545"/>
    </row>
    <row r="5" spans="1:38" ht="24.95" customHeight="1" x14ac:dyDescent="0.2">
      <c r="A5" s="535">
        <v>1</v>
      </c>
      <c r="B5" s="522" t="s">
        <v>423</v>
      </c>
      <c r="C5" s="614" t="s">
        <v>480</v>
      </c>
      <c r="D5" s="299" t="s">
        <v>481</v>
      </c>
      <c r="E5" s="463" t="s">
        <v>222</v>
      </c>
      <c r="F5" s="364" t="s">
        <v>482</v>
      </c>
      <c r="G5" s="364" t="s">
        <v>243</v>
      </c>
      <c r="H5" s="463" t="s">
        <v>443</v>
      </c>
      <c r="I5" s="468" t="s">
        <v>444</v>
      </c>
      <c r="J5" s="712" t="s">
        <v>32</v>
      </c>
      <c r="K5" s="468" t="s">
        <v>32</v>
      </c>
      <c r="L5" s="16">
        <v>101006</v>
      </c>
      <c r="M5" s="17"/>
      <c r="N5" s="17"/>
      <c r="O5" s="18">
        <v>48435</v>
      </c>
      <c r="P5" s="17"/>
      <c r="Q5" s="17"/>
      <c r="R5" s="28">
        <f>O5</f>
        <v>48435</v>
      </c>
      <c r="S5" s="59"/>
      <c r="T5" s="59"/>
      <c r="U5" s="28">
        <f>R5</f>
        <v>48435</v>
      </c>
      <c r="V5" s="719">
        <f>U5+U6</f>
        <v>125220</v>
      </c>
      <c r="W5" s="28">
        <f>U5</f>
        <v>48435</v>
      </c>
      <c r="X5" s="28">
        <f>W5</f>
        <v>48435</v>
      </c>
      <c r="Y5" s="718">
        <f>V5-X5-X6</f>
        <v>0</v>
      </c>
      <c r="Z5" s="721">
        <f>V5*0.8</f>
        <v>100176</v>
      </c>
      <c r="AA5" s="28">
        <f>W5*0.8</f>
        <v>38748</v>
      </c>
      <c r="AB5" s="28">
        <f>AA5</f>
        <v>38748</v>
      </c>
      <c r="AC5" s="653">
        <f>Z5-AB5-AB6</f>
        <v>0</v>
      </c>
      <c r="AD5" s="60"/>
      <c r="AE5" s="60"/>
      <c r="AF5" s="59"/>
      <c r="AG5" s="28">
        <v>12108.75</v>
      </c>
      <c r="AH5" s="28">
        <v>7749.6</v>
      </c>
      <c r="AI5" s="724">
        <f>Z5-AF5-AG6-AH65-AF6-AG5-AH5-AH6</f>
        <v>48835.8</v>
      </c>
      <c r="AJ5" s="683"/>
      <c r="AK5" s="252">
        <f>AG5/R5</f>
        <v>0.25</v>
      </c>
      <c r="AL5" s="252">
        <f>AH5/AB5</f>
        <v>0.2</v>
      </c>
    </row>
    <row r="6" spans="1:38" ht="24.95" customHeight="1" x14ac:dyDescent="0.2">
      <c r="A6" s="535"/>
      <c r="B6" s="522"/>
      <c r="C6" s="614"/>
      <c r="D6" s="300" t="s">
        <v>483</v>
      </c>
      <c r="E6" s="463"/>
      <c r="F6" s="364"/>
      <c r="G6" s="364"/>
      <c r="H6" s="463"/>
      <c r="I6" s="468"/>
      <c r="J6" s="468"/>
      <c r="K6" s="468"/>
      <c r="L6" s="20">
        <v>151472</v>
      </c>
      <c r="M6" s="21"/>
      <c r="N6" s="21"/>
      <c r="O6" s="22">
        <v>76785</v>
      </c>
      <c r="P6" s="21"/>
      <c r="Q6" s="21"/>
      <c r="R6" s="29">
        <f>O6</f>
        <v>76785</v>
      </c>
      <c r="S6" s="32"/>
      <c r="T6" s="32"/>
      <c r="U6" s="29">
        <f>R6</f>
        <v>76785</v>
      </c>
      <c r="V6" s="383"/>
      <c r="W6" s="29">
        <f>U6</f>
        <v>76785</v>
      </c>
      <c r="X6" s="29">
        <f>W6</f>
        <v>76785</v>
      </c>
      <c r="Y6" s="518"/>
      <c r="Z6" s="722"/>
      <c r="AA6" s="29">
        <f>W6*0.8</f>
        <v>61428</v>
      </c>
      <c r="AB6" s="29">
        <f>AA6</f>
        <v>61428</v>
      </c>
      <c r="AC6" s="538"/>
      <c r="AD6" s="37"/>
      <c r="AE6" s="37"/>
      <c r="AF6" s="32"/>
      <c r="AG6" s="29">
        <v>19196.25</v>
      </c>
      <c r="AH6" s="29">
        <v>12285.6</v>
      </c>
      <c r="AI6" s="671"/>
      <c r="AJ6" s="684"/>
      <c r="AK6" s="252">
        <f>AG6/R6</f>
        <v>0.25</v>
      </c>
      <c r="AL6" s="252">
        <f>AH6/AB6</f>
        <v>0.2</v>
      </c>
    </row>
    <row r="7" spans="1:38" ht="24.95" customHeight="1" x14ac:dyDescent="0.2">
      <c r="A7" s="535">
        <v>2</v>
      </c>
      <c r="B7" s="522" t="s">
        <v>484</v>
      </c>
      <c r="C7" s="614" t="s">
        <v>480</v>
      </c>
      <c r="D7" s="520" t="s">
        <v>485</v>
      </c>
      <c r="E7" s="463" t="s">
        <v>222</v>
      </c>
      <c r="F7" s="364" t="s">
        <v>486</v>
      </c>
      <c r="G7" s="364" t="s">
        <v>487</v>
      </c>
      <c r="H7" s="463" t="s">
        <v>488</v>
      </c>
      <c r="I7" s="468" t="s">
        <v>489</v>
      </c>
      <c r="J7" s="468" t="s">
        <v>33</v>
      </c>
      <c r="K7" s="468" t="s">
        <v>33</v>
      </c>
      <c r="L7" s="20">
        <v>980573</v>
      </c>
      <c r="M7" s="22">
        <v>294172</v>
      </c>
      <c r="N7" s="21"/>
      <c r="O7" s="22">
        <v>575545.53</v>
      </c>
      <c r="P7" s="22">
        <v>91451.59</v>
      </c>
      <c r="Q7" s="21"/>
      <c r="R7" s="29">
        <f>O7</f>
        <v>575545.53</v>
      </c>
      <c r="S7" s="29">
        <f>P7</f>
        <v>91451.59</v>
      </c>
      <c r="T7" s="32"/>
      <c r="U7" s="536">
        <f>R7+S7</f>
        <v>666997.12</v>
      </c>
      <c r="V7" s="383">
        <f>U7</f>
        <v>666997.12</v>
      </c>
      <c r="W7" s="536">
        <f>V7</f>
        <v>666997.12</v>
      </c>
      <c r="X7" s="536">
        <f>W7</f>
        <v>666997.12</v>
      </c>
      <c r="Y7" s="518">
        <f>V7-X7-X9</f>
        <v>0</v>
      </c>
      <c r="Z7" s="722">
        <f>V7*0.8</f>
        <v>533597.696</v>
      </c>
      <c r="AA7" s="29">
        <f>W7*0.8</f>
        <v>533597.696</v>
      </c>
      <c r="AB7" s="29">
        <f>AA7</f>
        <v>533597.696</v>
      </c>
      <c r="AC7" s="536">
        <f>Z7-AB7</f>
        <v>0</v>
      </c>
      <c r="AD7" s="36" t="s">
        <v>324</v>
      </c>
      <c r="AE7" s="36" t="s">
        <v>43</v>
      </c>
      <c r="AF7" s="29">
        <f>8.21*1500</f>
        <v>12315.000000000002</v>
      </c>
      <c r="AG7" s="518">
        <f>156572.1</f>
        <v>156572.1</v>
      </c>
      <c r="AH7" s="518">
        <f>86467</f>
        <v>86467</v>
      </c>
      <c r="AI7" s="671">
        <f>Z7-AG7-AH7-AF7-AF8</f>
        <v>277043.59600000002</v>
      </c>
      <c r="AJ7" s="684"/>
      <c r="AK7" s="252">
        <f>AG7/V7</f>
        <v>0.2347417931879526</v>
      </c>
      <c r="AL7" s="252">
        <f>AH7/R7/0.8</f>
        <v>0.18779357038877531</v>
      </c>
    </row>
    <row r="8" spans="1:38" ht="24.95" customHeight="1" x14ac:dyDescent="0.2">
      <c r="A8" s="535"/>
      <c r="B8" s="522"/>
      <c r="C8" s="614"/>
      <c r="D8" s="521"/>
      <c r="E8" s="463"/>
      <c r="F8" s="364"/>
      <c r="G8" s="364"/>
      <c r="H8" s="463"/>
      <c r="I8" s="468"/>
      <c r="J8" s="468"/>
      <c r="K8" s="468"/>
      <c r="L8" s="26"/>
      <c r="M8" s="21"/>
      <c r="N8" s="21"/>
      <c r="O8" s="21"/>
      <c r="P8" s="21"/>
      <c r="Q8" s="21"/>
      <c r="R8" s="32"/>
      <c r="S8" s="32"/>
      <c r="T8" s="32"/>
      <c r="U8" s="537"/>
      <c r="V8" s="383"/>
      <c r="W8" s="537"/>
      <c r="X8" s="537"/>
      <c r="Y8" s="518"/>
      <c r="Z8" s="722"/>
      <c r="AA8" s="32"/>
      <c r="AB8" s="32"/>
      <c r="AC8" s="537"/>
      <c r="AD8" s="36" t="s">
        <v>359</v>
      </c>
      <c r="AE8" s="36" t="s">
        <v>360</v>
      </c>
      <c r="AF8" s="29">
        <f>300*4</f>
        <v>1200</v>
      </c>
      <c r="AG8" s="518"/>
      <c r="AH8" s="518"/>
      <c r="AI8" s="671"/>
      <c r="AJ8" s="684"/>
    </row>
    <row r="9" spans="1:38" ht="24.95" customHeight="1" x14ac:dyDescent="0.2">
      <c r="A9" s="493"/>
      <c r="B9" s="495"/>
      <c r="C9" s="615"/>
      <c r="D9" s="522"/>
      <c r="E9" s="410"/>
      <c r="F9" s="411"/>
      <c r="G9" s="411"/>
      <c r="H9" s="410"/>
      <c r="I9" s="412"/>
      <c r="J9" s="412"/>
      <c r="K9" s="412"/>
      <c r="L9" s="26"/>
      <c r="M9" s="21"/>
      <c r="N9" s="21"/>
      <c r="O9" s="21"/>
      <c r="P9" s="21"/>
      <c r="Q9" s="21"/>
      <c r="R9" s="32"/>
      <c r="S9" s="32"/>
      <c r="T9" s="32"/>
      <c r="U9" s="538"/>
      <c r="V9" s="383"/>
      <c r="W9" s="538"/>
      <c r="X9" s="538"/>
      <c r="Y9" s="518"/>
      <c r="Z9" s="722"/>
      <c r="AA9" s="32"/>
      <c r="AB9" s="32"/>
      <c r="AC9" s="538"/>
      <c r="AD9" s="37"/>
      <c r="AE9" s="37"/>
      <c r="AF9" s="32"/>
      <c r="AG9" s="518"/>
      <c r="AH9" s="518"/>
      <c r="AI9" s="671"/>
      <c r="AJ9" s="684"/>
    </row>
    <row r="10" spans="1:38" ht="24.95" customHeight="1" x14ac:dyDescent="0.2">
      <c r="A10" s="535">
        <v>3</v>
      </c>
      <c r="B10" s="522" t="s">
        <v>490</v>
      </c>
      <c r="C10" s="614" t="s">
        <v>480</v>
      </c>
      <c r="D10" s="301"/>
      <c r="E10" s="463" t="s">
        <v>222</v>
      </c>
      <c r="F10" s="364" t="s">
        <v>491</v>
      </c>
      <c r="G10" s="364" t="s">
        <v>243</v>
      </c>
      <c r="H10" s="463" t="s">
        <v>48</v>
      </c>
      <c r="I10" s="468" t="s">
        <v>400</v>
      </c>
      <c r="J10" s="412" t="s">
        <v>32</v>
      </c>
      <c r="K10" s="468" t="s">
        <v>32</v>
      </c>
      <c r="L10" s="20"/>
      <c r="M10" s="22"/>
      <c r="N10" s="22"/>
      <c r="O10" s="22"/>
      <c r="P10" s="22"/>
      <c r="Q10" s="22"/>
      <c r="R10" s="29"/>
      <c r="S10" s="29"/>
      <c r="T10" s="29"/>
      <c r="U10" s="29"/>
      <c r="V10" s="383"/>
      <c r="W10" s="29"/>
      <c r="X10" s="29">
        <v>0</v>
      </c>
      <c r="Y10" s="518">
        <f>V10-X10-X12</f>
        <v>0</v>
      </c>
      <c r="Z10" s="722">
        <f>V10*0.8</f>
        <v>0</v>
      </c>
      <c r="AA10" s="29"/>
      <c r="AB10" s="29"/>
      <c r="AC10" s="29"/>
      <c r="AD10" s="36"/>
      <c r="AE10" s="36"/>
      <c r="AF10" s="29"/>
      <c r="AG10" s="518"/>
      <c r="AH10" s="518"/>
      <c r="AI10" s="671"/>
      <c r="AJ10" s="684"/>
    </row>
    <row r="11" spans="1:38" ht="24.95" customHeight="1" x14ac:dyDescent="0.2">
      <c r="A11" s="535"/>
      <c r="B11" s="522"/>
      <c r="C11" s="614"/>
      <c r="D11" s="300"/>
      <c r="E11" s="463"/>
      <c r="F11" s="364"/>
      <c r="G11" s="364"/>
      <c r="H11" s="463"/>
      <c r="I11" s="468"/>
      <c r="J11" s="468"/>
      <c r="K11" s="468"/>
      <c r="L11" s="20"/>
      <c r="M11" s="22"/>
      <c r="N11" s="22"/>
      <c r="O11" s="22"/>
      <c r="P11" s="22"/>
      <c r="Q11" s="22"/>
      <c r="R11" s="29"/>
      <c r="S11" s="29"/>
      <c r="T11" s="29"/>
      <c r="U11" s="29"/>
      <c r="V11" s="383"/>
      <c r="W11" s="29"/>
      <c r="X11" s="29"/>
      <c r="Y11" s="518"/>
      <c r="Z11" s="722"/>
      <c r="AA11" s="29"/>
      <c r="AB11" s="29"/>
      <c r="AC11" s="29"/>
      <c r="AD11" s="36"/>
      <c r="AE11" s="36"/>
      <c r="AF11" s="29"/>
      <c r="AG11" s="518"/>
      <c r="AH11" s="518"/>
      <c r="AI11" s="671"/>
      <c r="AJ11" s="684"/>
    </row>
    <row r="12" spans="1:38" ht="24.95" customHeight="1" x14ac:dyDescent="0.2">
      <c r="A12" s="493"/>
      <c r="B12" s="495"/>
      <c r="C12" s="615"/>
      <c r="D12" s="302"/>
      <c r="E12" s="410"/>
      <c r="F12" s="411"/>
      <c r="G12" s="411"/>
      <c r="H12" s="410"/>
      <c r="I12" s="412"/>
      <c r="J12" s="412"/>
      <c r="K12" s="412"/>
      <c r="L12" s="20"/>
      <c r="M12" s="22"/>
      <c r="N12" s="22"/>
      <c r="O12" s="22"/>
      <c r="P12" s="22"/>
      <c r="Q12" s="22"/>
      <c r="R12" s="29"/>
      <c r="S12" s="29"/>
      <c r="T12" s="29"/>
      <c r="U12" s="29"/>
      <c r="V12" s="383"/>
      <c r="W12" s="29"/>
      <c r="X12" s="29">
        <v>0</v>
      </c>
      <c r="Y12" s="518"/>
      <c r="Z12" s="722"/>
      <c r="AA12" s="29"/>
      <c r="AB12" s="29"/>
      <c r="AC12" s="29"/>
      <c r="AD12" s="36"/>
      <c r="AE12" s="36"/>
      <c r="AF12" s="29"/>
      <c r="AG12" s="518"/>
      <c r="AH12" s="518"/>
      <c r="AI12" s="671"/>
      <c r="AJ12" s="684"/>
    </row>
    <row r="13" spans="1:38" ht="24.95" customHeight="1" x14ac:dyDescent="0.2">
      <c r="A13" s="535">
        <v>4</v>
      </c>
      <c r="B13" s="695" t="s">
        <v>618</v>
      </c>
      <c r="C13" s="614">
        <v>2020.3</v>
      </c>
      <c r="D13" s="520" t="s">
        <v>619</v>
      </c>
      <c r="E13" s="463" t="s">
        <v>222</v>
      </c>
      <c r="F13" s="364" t="s">
        <v>492</v>
      </c>
      <c r="G13" s="364" t="s">
        <v>243</v>
      </c>
      <c r="H13" s="463" t="s">
        <v>493</v>
      </c>
      <c r="I13" s="468" t="s">
        <v>494</v>
      </c>
      <c r="J13" s="412" t="s">
        <v>32</v>
      </c>
      <c r="K13" s="468" t="s">
        <v>32</v>
      </c>
      <c r="L13" s="641">
        <v>82209</v>
      </c>
      <c r="M13" s="643"/>
      <c r="N13" s="643"/>
      <c r="O13" s="557">
        <v>53949</v>
      </c>
      <c r="P13" s="643"/>
      <c r="Q13" s="643"/>
      <c r="R13" s="536">
        <f>O13</f>
        <v>53949</v>
      </c>
      <c r="S13" s="581"/>
      <c r="T13" s="581"/>
      <c r="U13" s="536">
        <f>R13+S13+T13</f>
        <v>53949</v>
      </c>
      <c r="V13" s="383">
        <f>U13</f>
        <v>53949</v>
      </c>
      <c r="W13" s="536">
        <f>V13</f>
        <v>53949</v>
      </c>
      <c r="X13" s="536">
        <f>W13</f>
        <v>53949</v>
      </c>
      <c r="Y13" s="518">
        <f>V13-X13-X15</f>
        <v>0</v>
      </c>
      <c r="Z13" s="722">
        <f>V13*0.8</f>
        <v>43159.200000000004</v>
      </c>
      <c r="AA13" s="536">
        <f>W13*0.8</f>
        <v>43159.200000000004</v>
      </c>
      <c r="AB13" s="536">
        <f>AA13</f>
        <v>43159.200000000004</v>
      </c>
      <c r="AC13" s="536">
        <f>Z13-AB13</f>
        <v>0</v>
      </c>
      <c r="AD13" s="37"/>
      <c r="AE13" s="37"/>
      <c r="AF13" s="32"/>
      <c r="AG13" s="518"/>
      <c r="AH13" s="518"/>
      <c r="AI13" s="671">
        <f>Z13-AG13-AH13</f>
        <v>43159.200000000004</v>
      </c>
      <c r="AJ13" s="684"/>
    </row>
    <row r="14" spans="1:38" ht="24.95" customHeight="1" x14ac:dyDescent="0.2">
      <c r="A14" s="535"/>
      <c r="B14" s="695"/>
      <c r="C14" s="614"/>
      <c r="D14" s="521"/>
      <c r="E14" s="463"/>
      <c r="F14" s="364"/>
      <c r="G14" s="364"/>
      <c r="H14" s="463"/>
      <c r="I14" s="468"/>
      <c r="J14" s="468"/>
      <c r="K14" s="468"/>
      <c r="L14" s="642"/>
      <c r="M14" s="689"/>
      <c r="N14" s="689"/>
      <c r="O14" s="558"/>
      <c r="P14" s="689"/>
      <c r="Q14" s="689"/>
      <c r="R14" s="537"/>
      <c r="S14" s="582"/>
      <c r="T14" s="582"/>
      <c r="U14" s="537"/>
      <c r="V14" s="383"/>
      <c r="W14" s="537"/>
      <c r="X14" s="537"/>
      <c r="Y14" s="518"/>
      <c r="Z14" s="722"/>
      <c r="AA14" s="537"/>
      <c r="AB14" s="537"/>
      <c r="AC14" s="537"/>
      <c r="AD14" s="37"/>
      <c r="AE14" s="37"/>
      <c r="AF14" s="32"/>
      <c r="AG14" s="518"/>
      <c r="AH14" s="518"/>
      <c r="AI14" s="671"/>
      <c r="AJ14" s="684"/>
    </row>
    <row r="15" spans="1:38" ht="24.95" customHeight="1" x14ac:dyDescent="0.2">
      <c r="A15" s="493"/>
      <c r="B15" s="696"/>
      <c r="C15" s="615"/>
      <c r="D15" s="522"/>
      <c r="E15" s="410"/>
      <c r="F15" s="411"/>
      <c r="G15" s="411"/>
      <c r="H15" s="410"/>
      <c r="I15" s="412"/>
      <c r="J15" s="412"/>
      <c r="K15" s="412"/>
      <c r="L15" s="636"/>
      <c r="M15" s="644"/>
      <c r="N15" s="644"/>
      <c r="O15" s="559"/>
      <c r="P15" s="644"/>
      <c r="Q15" s="644"/>
      <c r="R15" s="538"/>
      <c r="S15" s="583"/>
      <c r="T15" s="583"/>
      <c r="U15" s="538"/>
      <c r="V15" s="383"/>
      <c r="W15" s="538"/>
      <c r="X15" s="538"/>
      <c r="Y15" s="518"/>
      <c r="Z15" s="722"/>
      <c r="AA15" s="538"/>
      <c r="AB15" s="538"/>
      <c r="AC15" s="538"/>
      <c r="AD15" s="37"/>
      <c r="AE15" s="37"/>
      <c r="AF15" s="32"/>
      <c r="AG15" s="518"/>
      <c r="AH15" s="518"/>
      <c r="AI15" s="671"/>
      <c r="AJ15" s="684"/>
    </row>
    <row r="16" spans="1:38" ht="24.95" customHeight="1" x14ac:dyDescent="0.2">
      <c r="A16" s="535">
        <v>5</v>
      </c>
      <c r="B16" s="697" t="s">
        <v>743</v>
      </c>
      <c r="C16" s="614">
        <v>2020.3</v>
      </c>
      <c r="D16" s="520" t="s">
        <v>597</v>
      </c>
      <c r="E16" s="463" t="s">
        <v>222</v>
      </c>
      <c r="F16" s="364" t="s">
        <v>495</v>
      </c>
      <c r="G16" s="364" t="s">
        <v>243</v>
      </c>
      <c r="H16" s="463" t="s">
        <v>244</v>
      </c>
      <c r="I16" s="468" t="s">
        <v>245</v>
      </c>
      <c r="J16" s="468" t="s">
        <v>32</v>
      </c>
      <c r="K16" s="468" t="s">
        <v>32</v>
      </c>
      <c r="L16" s="641">
        <f>O16</f>
        <v>209490</v>
      </c>
      <c r="M16" s="557">
        <f>P16</f>
        <v>36969</v>
      </c>
      <c r="N16" s="557">
        <v>0</v>
      </c>
      <c r="O16" s="557">
        <v>209490</v>
      </c>
      <c r="P16" s="557">
        <v>36969</v>
      </c>
      <c r="Q16" s="557">
        <v>0</v>
      </c>
      <c r="R16" s="536">
        <f>O16-381.75</f>
        <v>209108.25</v>
      </c>
      <c r="S16" s="536">
        <f>P16</f>
        <v>36969</v>
      </c>
      <c r="T16" s="536">
        <f>Q16</f>
        <v>0</v>
      </c>
      <c r="U16" s="536">
        <f>R16+S16+T16</f>
        <v>246077.25</v>
      </c>
      <c r="V16" s="383">
        <f>U16</f>
        <v>246077.25</v>
      </c>
      <c r="W16" s="29">
        <v>225160.59</v>
      </c>
      <c r="X16" s="29">
        <v>225160.59</v>
      </c>
      <c r="Y16" s="518">
        <f>V16-X16-X17-X18</f>
        <v>3.637978807091713E-12</v>
      </c>
      <c r="Z16" s="722">
        <f>V16*0.8</f>
        <v>196861.80000000002</v>
      </c>
      <c r="AA16" s="29">
        <f>W16*0.8</f>
        <v>180128.47200000001</v>
      </c>
      <c r="AB16" s="29">
        <f>X16*0.8</f>
        <v>180128.47200000001</v>
      </c>
      <c r="AC16" s="29">
        <f>Z16-AB16</f>
        <v>16733.328000000009</v>
      </c>
      <c r="AD16" s="36" t="s">
        <v>279</v>
      </c>
      <c r="AE16" s="36" t="s">
        <v>43</v>
      </c>
      <c r="AF16" s="29">
        <f>7*2500</f>
        <v>17500</v>
      </c>
      <c r="AG16" s="518"/>
      <c r="AH16" s="518"/>
      <c r="AI16" s="671"/>
      <c r="AJ16" s="684"/>
    </row>
    <row r="17" spans="1:38" ht="24.95" customHeight="1" x14ac:dyDescent="0.2">
      <c r="A17" s="535"/>
      <c r="B17" s="698"/>
      <c r="C17" s="614"/>
      <c r="D17" s="521"/>
      <c r="E17" s="463"/>
      <c r="F17" s="364"/>
      <c r="G17" s="364"/>
      <c r="H17" s="463"/>
      <c r="I17" s="468"/>
      <c r="J17" s="468"/>
      <c r="K17" s="468"/>
      <c r="L17" s="642"/>
      <c r="M17" s="558"/>
      <c r="N17" s="558"/>
      <c r="O17" s="558"/>
      <c r="P17" s="558"/>
      <c r="Q17" s="558"/>
      <c r="R17" s="537"/>
      <c r="S17" s="537"/>
      <c r="T17" s="537"/>
      <c r="U17" s="537"/>
      <c r="V17" s="383"/>
      <c r="W17" s="29">
        <v>20916.66</v>
      </c>
      <c r="X17" s="29">
        <v>20916.66</v>
      </c>
      <c r="Y17" s="518"/>
      <c r="Z17" s="722"/>
      <c r="AA17" s="29"/>
      <c r="AB17" s="29"/>
      <c r="AC17" s="29"/>
      <c r="AD17" s="36" t="s">
        <v>279</v>
      </c>
      <c r="AE17" s="36" t="s">
        <v>36</v>
      </c>
      <c r="AF17" s="29">
        <f>8*200</f>
        <v>1600</v>
      </c>
      <c r="AG17" s="518"/>
      <c r="AH17" s="518"/>
      <c r="AI17" s="671"/>
      <c r="AJ17" s="684"/>
    </row>
    <row r="18" spans="1:38" ht="24.95" customHeight="1" x14ac:dyDescent="0.2">
      <c r="A18" s="535"/>
      <c r="B18" s="698"/>
      <c r="C18" s="614"/>
      <c r="D18" s="521"/>
      <c r="E18" s="463"/>
      <c r="F18" s="364"/>
      <c r="G18" s="364"/>
      <c r="H18" s="463"/>
      <c r="I18" s="468"/>
      <c r="J18" s="468"/>
      <c r="K18" s="468"/>
      <c r="L18" s="642"/>
      <c r="M18" s="558"/>
      <c r="N18" s="558"/>
      <c r="O18" s="558"/>
      <c r="P18" s="558"/>
      <c r="Q18" s="558"/>
      <c r="R18" s="538"/>
      <c r="S18" s="538"/>
      <c r="T18" s="538"/>
      <c r="U18" s="538"/>
      <c r="V18" s="383"/>
      <c r="W18" s="29"/>
      <c r="X18" s="29"/>
      <c r="Y18" s="518"/>
      <c r="Z18" s="722"/>
      <c r="AA18" s="29"/>
      <c r="AB18" s="29"/>
      <c r="AC18" s="29"/>
      <c r="AD18" s="36"/>
      <c r="AE18" s="36"/>
      <c r="AF18" s="29"/>
      <c r="AG18" s="518"/>
      <c r="AH18" s="518"/>
      <c r="AI18" s="671"/>
      <c r="AJ18" s="684"/>
    </row>
    <row r="19" spans="1:38" ht="24.95" customHeight="1" x14ac:dyDescent="0.2">
      <c r="A19" s="533">
        <v>8</v>
      </c>
      <c r="B19" s="520" t="s">
        <v>496</v>
      </c>
      <c r="C19" s="612">
        <v>2020.3</v>
      </c>
      <c r="D19" s="697" t="s">
        <v>497</v>
      </c>
      <c r="E19" s="620" t="s">
        <v>222</v>
      </c>
      <c r="F19" s="362" t="s">
        <v>498</v>
      </c>
      <c r="G19" s="362" t="s">
        <v>357</v>
      </c>
      <c r="H19" s="620" t="s">
        <v>358</v>
      </c>
      <c r="I19" s="469" t="s">
        <v>239</v>
      </c>
      <c r="J19" s="469" t="s">
        <v>33</v>
      </c>
      <c r="K19" s="469" t="s">
        <v>32</v>
      </c>
      <c r="L19" s="714">
        <v>1312407</v>
      </c>
      <c r="M19" s="561"/>
      <c r="N19" s="561"/>
      <c r="O19" s="557"/>
      <c r="P19" s="557"/>
      <c r="Q19" s="557"/>
      <c r="R19" s="536"/>
      <c r="S19" s="536"/>
      <c r="T19" s="536"/>
      <c r="U19" s="536"/>
      <c r="V19" s="340"/>
      <c r="W19" s="29"/>
      <c r="X19" s="29"/>
      <c r="Y19" s="536"/>
      <c r="Z19" s="661"/>
      <c r="AA19" s="29"/>
      <c r="AB19" s="29"/>
      <c r="AC19" s="536"/>
      <c r="AD19" s="36" t="s">
        <v>359</v>
      </c>
      <c r="AE19" s="36" t="s">
        <v>360</v>
      </c>
      <c r="AF19" s="29">
        <f>6*300</f>
        <v>1800</v>
      </c>
      <c r="AG19" s="536"/>
      <c r="AH19" s="536"/>
      <c r="AI19" s="672"/>
      <c r="AJ19" s="687"/>
    </row>
    <row r="20" spans="1:38" ht="24.95" customHeight="1" x14ac:dyDescent="0.2">
      <c r="A20" s="535"/>
      <c r="B20" s="522"/>
      <c r="C20" s="614"/>
      <c r="D20" s="707"/>
      <c r="E20" s="463"/>
      <c r="F20" s="364"/>
      <c r="G20" s="364"/>
      <c r="H20" s="463"/>
      <c r="I20" s="468"/>
      <c r="J20" s="468"/>
      <c r="K20" s="468"/>
      <c r="L20" s="715"/>
      <c r="M20" s="563"/>
      <c r="N20" s="563"/>
      <c r="O20" s="559"/>
      <c r="P20" s="559"/>
      <c r="Q20" s="559"/>
      <c r="R20" s="538"/>
      <c r="S20" s="538"/>
      <c r="T20" s="538"/>
      <c r="U20" s="538"/>
      <c r="V20" s="341"/>
      <c r="W20" s="29"/>
      <c r="X20" s="29"/>
      <c r="Y20" s="538"/>
      <c r="Z20" s="660"/>
      <c r="AA20" s="29"/>
      <c r="AB20" s="29"/>
      <c r="AC20" s="538"/>
      <c r="AD20" s="36"/>
      <c r="AE20" s="36"/>
      <c r="AF20" s="29"/>
      <c r="AG20" s="538"/>
      <c r="AH20" s="538"/>
      <c r="AI20" s="674"/>
      <c r="AJ20" s="688"/>
    </row>
    <row r="21" spans="1:38" ht="24.95" customHeight="1" x14ac:dyDescent="0.2">
      <c r="A21" s="533">
        <v>10</v>
      </c>
      <c r="B21" s="520" t="s">
        <v>499</v>
      </c>
      <c r="C21" s="612">
        <v>2020.3</v>
      </c>
      <c r="D21" s="708" t="s">
        <v>500</v>
      </c>
      <c r="E21" s="620" t="s">
        <v>501</v>
      </c>
      <c r="F21" s="362" t="s">
        <v>502</v>
      </c>
      <c r="G21" s="362" t="s">
        <v>503</v>
      </c>
      <c r="H21" s="620" t="s">
        <v>57</v>
      </c>
      <c r="I21" s="469" t="s">
        <v>58</v>
      </c>
      <c r="J21" s="469" t="s">
        <v>33</v>
      </c>
      <c r="K21" s="469" t="s">
        <v>33</v>
      </c>
      <c r="L21" s="26"/>
      <c r="M21" s="21"/>
      <c r="N21" s="641">
        <v>195000</v>
      </c>
      <c r="O21" s="561"/>
      <c r="P21" s="561"/>
      <c r="Q21" s="557">
        <v>176882</v>
      </c>
      <c r="R21" s="651"/>
      <c r="S21" s="651"/>
      <c r="T21" s="536">
        <f>U21</f>
        <v>176882</v>
      </c>
      <c r="U21" s="536">
        <f>Q21</f>
        <v>176882</v>
      </c>
      <c r="V21" s="340">
        <v>176882</v>
      </c>
      <c r="W21" s="536">
        <f>V21</f>
        <v>176882</v>
      </c>
      <c r="X21" s="536">
        <f>W21</f>
        <v>176882</v>
      </c>
      <c r="Y21" s="536">
        <f>V21-X21</f>
        <v>0</v>
      </c>
      <c r="Z21" s="661">
        <f>V21*0.85+0.3</f>
        <v>150349.99999999997</v>
      </c>
      <c r="AA21" s="29">
        <f>Z21</f>
        <v>150349.99999999997</v>
      </c>
      <c r="AB21" s="29">
        <f>AA21</f>
        <v>150349.99999999997</v>
      </c>
      <c r="AC21" s="29">
        <f>Z21-AB21</f>
        <v>0</v>
      </c>
      <c r="AD21" s="36" t="s">
        <v>359</v>
      </c>
      <c r="AE21" s="36" t="s">
        <v>360</v>
      </c>
      <c r="AF21" s="29">
        <f>10*300</f>
        <v>3000</v>
      </c>
      <c r="AG21" s="536"/>
      <c r="AH21" s="536">
        <f>28235</f>
        <v>28235</v>
      </c>
      <c r="AI21" s="672">
        <f>Z21-AG21-AH21-AF21</f>
        <v>119114.99999999997</v>
      </c>
      <c r="AJ21" s="687"/>
    </row>
    <row r="22" spans="1:38" ht="24.95" customHeight="1" x14ac:dyDescent="0.2">
      <c r="A22" s="534"/>
      <c r="B22" s="521"/>
      <c r="C22" s="613"/>
      <c r="D22" s="695"/>
      <c r="E22" s="621"/>
      <c r="F22" s="363"/>
      <c r="G22" s="363"/>
      <c r="H22" s="621"/>
      <c r="I22" s="619"/>
      <c r="J22" s="619"/>
      <c r="K22" s="619"/>
      <c r="L22" s="26"/>
      <c r="M22" s="21"/>
      <c r="N22" s="636"/>
      <c r="O22" s="563"/>
      <c r="P22" s="563"/>
      <c r="Q22" s="559"/>
      <c r="R22" s="652"/>
      <c r="S22" s="652"/>
      <c r="T22" s="538"/>
      <c r="U22" s="538"/>
      <c r="V22" s="341"/>
      <c r="W22" s="538"/>
      <c r="X22" s="538"/>
      <c r="Y22" s="538"/>
      <c r="Z22" s="660"/>
      <c r="AA22" s="32"/>
      <c r="AB22" s="32"/>
      <c r="AC22" s="32"/>
      <c r="AD22" s="37"/>
      <c r="AE22" s="37"/>
      <c r="AF22" s="32"/>
      <c r="AG22" s="538"/>
      <c r="AH22" s="538"/>
      <c r="AI22" s="674"/>
      <c r="AJ22" s="688"/>
    </row>
    <row r="23" spans="1:38" ht="24.95" customHeight="1" x14ac:dyDescent="0.2">
      <c r="A23" s="534"/>
      <c r="B23" s="521"/>
      <c r="C23" s="613"/>
      <c r="D23" s="708" t="s">
        <v>504</v>
      </c>
      <c r="E23" s="621"/>
      <c r="F23" s="363"/>
      <c r="G23" s="363"/>
      <c r="H23" s="621"/>
      <c r="I23" s="619"/>
      <c r="J23" s="619"/>
      <c r="K23" s="619"/>
      <c r="L23" s="26"/>
      <c r="M23" s="21"/>
      <c r="N23" s="714">
        <v>193000</v>
      </c>
      <c r="O23" s="557"/>
      <c r="P23" s="557"/>
      <c r="Q23" s="557">
        <v>193000</v>
      </c>
      <c r="R23" s="536"/>
      <c r="S23" s="536"/>
      <c r="T23" s="536">
        <f>Q23</f>
        <v>193000</v>
      </c>
      <c r="U23" s="536">
        <f>T23</f>
        <v>193000</v>
      </c>
      <c r="V23" s="340">
        <f>U23</f>
        <v>193000</v>
      </c>
      <c r="W23" s="536">
        <f>V23</f>
        <v>193000</v>
      </c>
      <c r="X23" s="536">
        <f>W23</f>
        <v>193000</v>
      </c>
      <c r="Y23" s="536">
        <f>V23-X23</f>
        <v>0</v>
      </c>
      <c r="Z23" s="661">
        <f>V23*0.85</f>
        <v>164050</v>
      </c>
      <c r="AA23" s="29">
        <f>Z23</f>
        <v>164050</v>
      </c>
      <c r="AB23" s="29">
        <f>AA23</f>
        <v>164050</v>
      </c>
      <c r="AC23" s="29">
        <f>Z23-AB23</f>
        <v>0</v>
      </c>
      <c r="AD23" s="37"/>
      <c r="AE23" s="37"/>
      <c r="AF23" s="32"/>
      <c r="AG23" s="536"/>
      <c r="AH23" s="536"/>
      <c r="AI23" s="672">
        <f>Z23-AG23-AH23</f>
        <v>164050</v>
      </c>
      <c r="AJ23" s="687"/>
    </row>
    <row r="24" spans="1:38" ht="24.95" customHeight="1" x14ac:dyDescent="0.2">
      <c r="A24" s="535"/>
      <c r="B24" s="522"/>
      <c r="C24" s="614"/>
      <c r="D24" s="695"/>
      <c r="E24" s="463"/>
      <c r="F24" s="364"/>
      <c r="G24" s="364"/>
      <c r="H24" s="463"/>
      <c r="I24" s="468"/>
      <c r="J24" s="468"/>
      <c r="K24" s="468"/>
      <c r="L24" s="26"/>
      <c r="M24" s="21"/>
      <c r="N24" s="715"/>
      <c r="O24" s="559"/>
      <c r="P24" s="559"/>
      <c r="Q24" s="559"/>
      <c r="R24" s="538"/>
      <c r="S24" s="538"/>
      <c r="T24" s="538"/>
      <c r="U24" s="538"/>
      <c r="V24" s="341"/>
      <c r="W24" s="538"/>
      <c r="X24" s="538"/>
      <c r="Y24" s="538"/>
      <c r="Z24" s="660"/>
      <c r="AA24" s="32"/>
      <c r="AB24" s="32"/>
      <c r="AC24" s="32"/>
      <c r="AD24" s="37"/>
      <c r="AE24" s="37"/>
      <c r="AF24" s="32"/>
      <c r="AG24" s="538"/>
      <c r="AH24" s="538"/>
      <c r="AI24" s="674"/>
      <c r="AJ24" s="688"/>
    </row>
    <row r="25" spans="1:38" ht="24.95" customHeight="1" x14ac:dyDescent="0.2">
      <c r="A25" s="533">
        <v>12</v>
      </c>
      <c r="B25" s="520" t="s">
        <v>505</v>
      </c>
      <c r="C25" s="612">
        <v>2020.4</v>
      </c>
      <c r="D25" s="697"/>
      <c r="E25" s="620" t="s">
        <v>222</v>
      </c>
      <c r="F25" s="362" t="s">
        <v>506</v>
      </c>
      <c r="G25" s="362" t="s">
        <v>243</v>
      </c>
      <c r="H25" s="620" t="s">
        <v>244</v>
      </c>
      <c r="I25" s="469" t="s">
        <v>245</v>
      </c>
      <c r="J25" s="469" t="s">
        <v>32</v>
      </c>
      <c r="K25" s="469" t="s">
        <v>32</v>
      </c>
      <c r="L25" s="20">
        <v>337094</v>
      </c>
      <c r="M25" s="22">
        <v>50865</v>
      </c>
      <c r="N25" s="21"/>
      <c r="O25" s="22">
        <v>331489</v>
      </c>
      <c r="P25" s="22">
        <v>50865</v>
      </c>
      <c r="Q25" s="21"/>
      <c r="R25" s="29">
        <f>O25</f>
        <v>331489</v>
      </c>
      <c r="S25" s="29">
        <f>P25</f>
        <v>50865</v>
      </c>
      <c r="T25" s="32"/>
      <c r="U25" s="29">
        <f>R25+S25+T25</f>
        <v>382354</v>
      </c>
      <c r="V25" s="340">
        <f>U25</f>
        <v>382354</v>
      </c>
      <c r="W25" s="29">
        <v>349205</v>
      </c>
      <c r="X25" s="29">
        <f>W25</f>
        <v>349205</v>
      </c>
      <c r="Y25" s="536">
        <f>V25-X25-X26</f>
        <v>0</v>
      </c>
      <c r="Z25" s="661">
        <f>V25*0.8</f>
        <v>305883.2</v>
      </c>
      <c r="AA25" s="29">
        <v>279364</v>
      </c>
      <c r="AB25" s="29">
        <f>AA25</f>
        <v>279364</v>
      </c>
      <c r="AC25" s="536">
        <f>Z25-AB25-AB26</f>
        <v>0</v>
      </c>
      <c r="AD25" s="36" t="s">
        <v>34</v>
      </c>
      <c r="AE25" s="36" t="s">
        <v>43</v>
      </c>
      <c r="AF25" s="29">
        <f>3.2*2500</f>
        <v>8000</v>
      </c>
      <c r="AG25" s="536">
        <f>81973</f>
        <v>81973</v>
      </c>
      <c r="AH25" s="536">
        <f>44821.03</f>
        <v>44821.03</v>
      </c>
      <c r="AI25" s="672">
        <f>Z25-AF25-AF26-AG25-AH25-AG26-AH26</f>
        <v>169589.17</v>
      </c>
      <c r="AJ25" s="687"/>
      <c r="AK25" s="252">
        <f>AG25/V25</f>
        <v>0.21439032938062633</v>
      </c>
      <c r="AL25" s="252">
        <f>AH25/(R25*0.8)</f>
        <v>0.16901401705637289</v>
      </c>
    </row>
    <row r="26" spans="1:38" ht="24.95" customHeight="1" x14ac:dyDescent="0.2">
      <c r="A26" s="535"/>
      <c r="B26" s="522"/>
      <c r="C26" s="614"/>
      <c r="D26" s="707"/>
      <c r="E26" s="463"/>
      <c r="F26" s="364"/>
      <c r="G26" s="364"/>
      <c r="H26" s="463"/>
      <c r="I26" s="468"/>
      <c r="J26" s="468"/>
      <c r="K26" s="468"/>
      <c r="L26" s="26"/>
      <c r="M26" s="21"/>
      <c r="N26" s="21"/>
      <c r="O26" s="21"/>
      <c r="P26" s="21"/>
      <c r="Q26" s="21"/>
      <c r="R26" s="32"/>
      <c r="S26" s="32"/>
      <c r="T26" s="32"/>
      <c r="U26" s="32"/>
      <c r="V26" s="341"/>
      <c r="W26" s="29">
        <v>33149</v>
      </c>
      <c r="X26" s="29">
        <v>33149</v>
      </c>
      <c r="Y26" s="538"/>
      <c r="Z26" s="660"/>
      <c r="AA26" s="29">
        <f>X26*0.8</f>
        <v>26519.200000000001</v>
      </c>
      <c r="AB26" s="29">
        <f>AA26</f>
        <v>26519.200000000001</v>
      </c>
      <c r="AC26" s="538"/>
      <c r="AD26" s="36" t="s">
        <v>359</v>
      </c>
      <c r="AE26" s="36" t="s">
        <v>360</v>
      </c>
      <c r="AF26" s="29">
        <f>5*300</f>
        <v>1500</v>
      </c>
      <c r="AG26" s="538"/>
      <c r="AH26" s="538"/>
      <c r="AI26" s="674"/>
      <c r="AJ26" s="688"/>
    </row>
    <row r="27" spans="1:38" ht="24.95" customHeight="1" x14ac:dyDescent="0.2">
      <c r="A27" s="15">
        <v>13</v>
      </c>
      <c r="B27" s="296" t="s">
        <v>507</v>
      </c>
      <c r="C27" s="297">
        <v>2020.7</v>
      </c>
      <c r="D27" s="304" t="s">
        <v>508</v>
      </c>
      <c r="E27" s="14" t="s">
        <v>222</v>
      </c>
      <c r="F27" s="13" t="s">
        <v>509</v>
      </c>
      <c r="G27" s="54"/>
      <c r="H27" s="55"/>
      <c r="I27" s="57"/>
      <c r="J27" s="57"/>
      <c r="K27" s="57"/>
      <c r="L27" s="20"/>
      <c r="M27" s="22"/>
      <c r="N27" s="22"/>
      <c r="O27" s="22">
        <v>336000</v>
      </c>
      <c r="P27" s="22"/>
      <c r="Q27" s="22"/>
      <c r="R27" s="29"/>
      <c r="S27" s="29"/>
      <c r="T27" s="29"/>
      <c r="U27" s="29">
        <v>336000</v>
      </c>
      <c r="V27" s="140">
        <f>U27</f>
        <v>336000</v>
      </c>
      <c r="W27" s="29">
        <v>336000</v>
      </c>
      <c r="X27" s="29">
        <f>W27</f>
        <v>336000</v>
      </c>
      <c r="Y27" s="29">
        <f>W27-X27</f>
        <v>0</v>
      </c>
      <c r="Z27" s="150">
        <f>V27*0.8</f>
        <v>268800</v>
      </c>
      <c r="AA27" s="29">
        <f>Z27</f>
        <v>268800</v>
      </c>
      <c r="AB27" s="29">
        <f>AA27</f>
        <v>268800</v>
      </c>
      <c r="AC27" s="29">
        <f>Z27-AB27</f>
        <v>0</v>
      </c>
      <c r="AD27" s="36" t="s">
        <v>510</v>
      </c>
      <c r="AE27" s="36" t="s">
        <v>223</v>
      </c>
      <c r="AF27" s="29">
        <f>V27*0.75</f>
        <v>252000</v>
      </c>
      <c r="AG27" s="30">
        <v>0</v>
      </c>
      <c r="AH27" s="30">
        <v>0</v>
      </c>
      <c r="AI27" s="151">
        <f>Z27-AF27</f>
        <v>16800</v>
      </c>
      <c r="AJ27" s="44"/>
    </row>
    <row r="28" spans="1:38" ht="24.95" customHeight="1" x14ac:dyDescent="0.2">
      <c r="A28" s="533">
        <v>15</v>
      </c>
      <c r="B28" s="520" t="s">
        <v>511</v>
      </c>
      <c r="C28" s="612">
        <v>2020.4</v>
      </c>
      <c r="D28" s="697" t="s">
        <v>512</v>
      </c>
      <c r="E28" s="620" t="s">
        <v>222</v>
      </c>
      <c r="F28" s="362" t="s">
        <v>513</v>
      </c>
      <c r="G28" s="362" t="s">
        <v>228</v>
      </c>
      <c r="H28" s="620" t="s">
        <v>30</v>
      </c>
      <c r="I28" s="469" t="s">
        <v>31</v>
      </c>
      <c r="J28" s="469" t="s">
        <v>33</v>
      </c>
      <c r="K28" s="469" t="s">
        <v>33</v>
      </c>
      <c r="L28" s="20">
        <v>137645</v>
      </c>
      <c r="M28" s="22">
        <v>45224</v>
      </c>
      <c r="N28" s="22">
        <v>0</v>
      </c>
      <c r="O28" s="22"/>
      <c r="P28" s="22"/>
      <c r="Q28" s="22"/>
      <c r="R28" s="29"/>
      <c r="S28" s="29"/>
      <c r="T28" s="29"/>
      <c r="U28" s="29"/>
      <c r="V28" s="140"/>
      <c r="W28" s="29"/>
      <c r="X28" s="29"/>
      <c r="Y28" s="29"/>
      <c r="Z28" s="150"/>
      <c r="AA28" s="29"/>
      <c r="AB28" s="29"/>
      <c r="AC28" s="29"/>
      <c r="AD28" s="36" t="s">
        <v>324</v>
      </c>
      <c r="AE28" s="36" t="s">
        <v>43</v>
      </c>
      <c r="AF28" s="29">
        <f>5.58*2500</f>
        <v>13950</v>
      </c>
      <c r="AG28" s="29"/>
      <c r="AH28" s="29"/>
      <c r="AI28" s="151"/>
      <c r="AJ28" s="687"/>
    </row>
    <row r="29" spans="1:38" ht="24.95" customHeight="1" x14ac:dyDescent="0.2">
      <c r="A29" s="534"/>
      <c r="B29" s="521"/>
      <c r="C29" s="613"/>
      <c r="D29" s="698"/>
      <c r="E29" s="621"/>
      <c r="F29" s="363"/>
      <c r="G29" s="363"/>
      <c r="H29" s="621"/>
      <c r="I29" s="619"/>
      <c r="J29" s="619"/>
      <c r="K29" s="619"/>
      <c r="L29" s="26"/>
      <c r="M29" s="21"/>
      <c r="N29" s="21"/>
      <c r="O29" s="22"/>
      <c r="P29" s="22"/>
      <c r="Q29" s="22"/>
      <c r="R29" s="29"/>
      <c r="S29" s="29"/>
      <c r="T29" s="29"/>
      <c r="U29" s="29"/>
      <c r="V29" s="140"/>
      <c r="W29" s="29"/>
      <c r="X29" s="29"/>
      <c r="Y29" s="29"/>
      <c r="Z29" s="150"/>
      <c r="AA29" s="29"/>
      <c r="AB29" s="29"/>
      <c r="AC29" s="29"/>
      <c r="AD29" s="36" t="s">
        <v>324</v>
      </c>
      <c r="AE29" s="36" t="s">
        <v>36</v>
      </c>
      <c r="AF29" s="29">
        <f>11*150</f>
        <v>1650</v>
      </c>
      <c r="AG29" s="29"/>
      <c r="AH29" s="29"/>
      <c r="AI29" s="151"/>
      <c r="AJ29" s="725"/>
    </row>
    <row r="30" spans="1:38" ht="24.95" customHeight="1" x14ac:dyDescent="0.2">
      <c r="A30" s="534"/>
      <c r="B30" s="521"/>
      <c r="C30" s="613"/>
      <c r="D30" s="707"/>
      <c r="E30" s="621"/>
      <c r="F30" s="363"/>
      <c r="G30" s="363"/>
      <c r="H30" s="621"/>
      <c r="I30" s="619"/>
      <c r="J30" s="619"/>
      <c r="K30" s="619"/>
      <c r="L30" s="26"/>
      <c r="M30" s="21"/>
      <c r="N30" s="21"/>
      <c r="O30" s="22"/>
      <c r="P30" s="22"/>
      <c r="Q30" s="22"/>
      <c r="R30" s="29"/>
      <c r="S30" s="29"/>
      <c r="T30" s="29"/>
      <c r="U30" s="29"/>
      <c r="V30" s="140"/>
      <c r="W30" s="29"/>
      <c r="X30" s="29"/>
      <c r="Y30" s="29"/>
      <c r="Z30" s="150"/>
      <c r="AA30" s="29"/>
      <c r="AB30" s="29"/>
      <c r="AC30" s="29"/>
      <c r="AD30" s="36" t="s">
        <v>514</v>
      </c>
      <c r="AE30" s="36" t="s">
        <v>280</v>
      </c>
      <c r="AF30" s="29">
        <f>5.583*800</f>
        <v>4466.4000000000005</v>
      </c>
      <c r="AG30" s="29"/>
      <c r="AH30" s="29"/>
      <c r="AI30" s="151"/>
      <c r="AJ30" s="688"/>
    </row>
    <row r="31" spans="1:38" ht="24.95" customHeight="1" x14ac:dyDescent="0.2">
      <c r="A31" s="534"/>
      <c r="B31" s="521"/>
      <c r="C31" s="613"/>
      <c r="D31" s="697" t="s">
        <v>515</v>
      </c>
      <c r="E31" s="621"/>
      <c r="F31" s="363"/>
      <c r="G31" s="363"/>
      <c r="H31" s="621"/>
      <c r="I31" s="619"/>
      <c r="J31" s="619"/>
      <c r="K31" s="619"/>
      <c r="L31" s="20">
        <v>184762</v>
      </c>
      <c r="M31" s="22">
        <v>35608</v>
      </c>
      <c r="N31" s="22">
        <v>0</v>
      </c>
      <c r="O31" s="22"/>
      <c r="P31" s="22"/>
      <c r="Q31" s="22"/>
      <c r="R31" s="29"/>
      <c r="S31" s="29"/>
      <c r="T31" s="29"/>
      <c r="U31" s="29"/>
      <c r="V31" s="140"/>
      <c r="W31" s="29"/>
      <c r="X31" s="29"/>
      <c r="Y31" s="29"/>
      <c r="Z31" s="150"/>
      <c r="AA31" s="29"/>
      <c r="AB31" s="29"/>
      <c r="AC31" s="29"/>
      <c r="AD31" s="36" t="s">
        <v>324</v>
      </c>
      <c r="AE31" s="36" t="s">
        <v>43</v>
      </c>
      <c r="AF31" s="29">
        <f>4.35*2500</f>
        <v>10875</v>
      </c>
      <c r="AG31" s="29"/>
      <c r="AH31" s="29"/>
      <c r="AI31" s="151"/>
      <c r="AJ31" s="687"/>
    </row>
    <row r="32" spans="1:38" ht="24.95" customHeight="1" x14ac:dyDescent="0.2">
      <c r="A32" s="534"/>
      <c r="B32" s="521"/>
      <c r="C32" s="613"/>
      <c r="D32" s="698"/>
      <c r="E32" s="621"/>
      <c r="F32" s="363"/>
      <c r="G32" s="363"/>
      <c r="H32" s="621"/>
      <c r="I32" s="619"/>
      <c r="J32" s="619"/>
      <c r="K32" s="619"/>
      <c r="L32" s="26"/>
      <c r="M32" s="21"/>
      <c r="N32" s="21"/>
      <c r="O32" s="22"/>
      <c r="P32" s="22"/>
      <c r="Q32" s="22"/>
      <c r="R32" s="29"/>
      <c r="S32" s="29"/>
      <c r="T32" s="29"/>
      <c r="U32" s="29"/>
      <c r="V32" s="140"/>
      <c r="W32" s="29"/>
      <c r="X32" s="29"/>
      <c r="Y32" s="29"/>
      <c r="Z32" s="150"/>
      <c r="AA32" s="29"/>
      <c r="AB32" s="29"/>
      <c r="AC32" s="29"/>
      <c r="AD32" s="36" t="s">
        <v>324</v>
      </c>
      <c r="AE32" s="36" t="s">
        <v>36</v>
      </c>
      <c r="AF32" s="29">
        <f>10*150</f>
        <v>1500</v>
      </c>
      <c r="AG32" s="29"/>
      <c r="AH32" s="29"/>
      <c r="AI32" s="151"/>
      <c r="AJ32" s="725"/>
    </row>
    <row r="33" spans="1:38" ht="24.95" customHeight="1" x14ac:dyDescent="0.2">
      <c r="A33" s="535"/>
      <c r="B33" s="522"/>
      <c r="C33" s="614"/>
      <c r="D33" s="707"/>
      <c r="E33" s="463"/>
      <c r="F33" s="364"/>
      <c r="G33" s="364"/>
      <c r="H33" s="463"/>
      <c r="I33" s="468"/>
      <c r="J33" s="468"/>
      <c r="K33" s="468"/>
      <c r="L33" s="26"/>
      <c r="M33" s="21"/>
      <c r="N33" s="21"/>
      <c r="O33" s="22"/>
      <c r="P33" s="22"/>
      <c r="Q33" s="22"/>
      <c r="R33" s="29"/>
      <c r="S33" s="29"/>
      <c r="T33" s="29"/>
      <c r="U33" s="29"/>
      <c r="V33" s="140"/>
      <c r="W33" s="29"/>
      <c r="X33" s="29"/>
      <c r="Y33" s="29"/>
      <c r="Z33" s="150"/>
      <c r="AA33" s="29"/>
      <c r="AB33" s="29"/>
      <c r="AC33" s="29"/>
      <c r="AD33" s="36"/>
      <c r="AE33" s="36"/>
      <c r="AF33" s="29"/>
      <c r="AG33" s="29"/>
      <c r="AH33" s="29"/>
      <c r="AI33" s="151"/>
      <c r="AJ33" s="688"/>
    </row>
    <row r="34" spans="1:38" ht="24.95" customHeight="1" x14ac:dyDescent="0.2">
      <c r="A34" s="533">
        <v>16</v>
      </c>
      <c r="B34" s="520" t="s">
        <v>516</v>
      </c>
      <c r="C34" s="612">
        <v>2020.4</v>
      </c>
      <c r="D34" s="697" t="s">
        <v>517</v>
      </c>
      <c r="E34" s="620" t="s">
        <v>222</v>
      </c>
      <c r="F34" s="362" t="s">
        <v>518</v>
      </c>
      <c r="G34" s="362" t="s">
        <v>519</v>
      </c>
      <c r="H34" s="620" t="s">
        <v>310</v>
      </c>
      <c r="I34" s="469" t="s">
        <v>311</v>
      </c>
      <c r="J34" s="469" t="s">
        <v>32</v>
      </c>
      <c r="K34" s="469" t="s">
        <v>32</v>
      </c>
      <c r="L34" s="714">
        <v>311577.81</v>
      </c>
      <c r="M34" s="561"/>
      <c r="N34" s="561"/>
      <c r="O34" s="557">
        <v>107181.6</v>
      </c>
      <c r="P34" s="561"/>
      <c r="Q34" s="561"/>
      <c r="R34" s="536">
        <f>O34</f>
        <v>107181.6</v>
      </c>
      <c r="S34" s="561"/>
      <c r="T34" s="561"/>
      <c r="U34" s="536">
        <f>R34+S34+T34</f>
        <v>107181.6</v>
      </c>
      <c r="V34" s="340">
        <f>U34</f>
        <v>107181.6</v>
      </c>
      <c r="W34" s="29">
        <v>107181.6</v>
      </c>
      <c r="X34" s="29">
        <f>W34</f>
        <v>107181.6</v>
      </c>
      <c r="Y34" s="536">
        <f>V34-X34-X35</f>
        <v>0</v>
      </c>
      <c r="Z34" s="150"/>
      <c r="AA34" s="29"/>
      <c r="AB34" s="29"/>
      <c r="AC34" s="29"/>
      <c r="AD34" s="37"/>
      <c r="AE34" s="37"/>
      <c r="AF34" s="32"/>
      <c r="AG34" s="29"/>
      <c r="AH34" s="29"/>
      <c r="AI34" s="151"/>
      <c r="AJ34" s="687"/>
    </row>
    <row r="35" spans="1:38" ht="24.95" customHeight="1" x14ac:dyDescent="0.2">
      <c r="A35" s="535"/>
      <c r="B35" s="522"/>
      <c r="C35" s="614"/>
      <c r="D35" s="707"/>
      <c r="E35" s="463"/>
      <c r="F35" s="364"/>
      <c r="G35" s="364"/>
      <c r="H35" s="463"/>
      <c r="I35" s="468"/>
      <c r="J35" s="468"/>
      <c r="K35" s="468"/>
      <c r="L35" s="715"/>
      <c r="M35" s="563"/>
      <c r="N35" s="563"/>
      <c r="O35" s="559"/>
      <c r="P35" s="563"/>
      <c r="Q35" s="563"/>
      <c r="R35" s="538"/>
      <c r="S35" s="563"/>
      <c r="T35" s="563"/>
      <c r="U35" s="538"/>
      <c r="V35" s="341"/>
      <c r="W35" s="29">
        <v>0</v>
      </c>
      <c r="X35" s="29">
        <v>0</v>
      </c>
      <c r="Y35" s="538"/>
      <c r="Z35" s="150"/>
      <c r="AA35" s="29"/>
      <c r="AB35" s="29"/>
      <c r="AC35" s="29"/>
      <c r="AD35" s="37"/>
      <c r="AE35" s="37"/>
      <c r="AF35" s="32"/>
      <c r="AG35" s="29"/>
      <c r="AH35" s="29"/>
      <c r="AI35" s="151"/>
      <c r="AJ35" s="688"/>
    </row>
    <row r="36" spans="1:38" ht="24.95" customHeight="1" x14ac:dyDescent="0.2">
      <c r="A36" s="533">
        <v>17</v>
      </c>
      <c r="B36" s="702" t="s">
        <v>520</v>
      </c>
      <c r="C36" s="612">
        <v>2020.5</v>
      </c>
      <c r="D36" s="697" t="s">
        <v>521</v>
      </c>
      <c r="E36" s="709" t="s">
        <v>522</v>
      </c>
      <c r="F36" s="362" t="s">
        <v>523</v>
      </c>
      <c r="G36" s="362" t="s">
        <v>524</v>
      </c>
      <c r="H36" s="620" t="s">
        <v>525</v>
      </c>
      <c r="I36" s="469" t="s">
        <v>526</v>
      </c>
      <c r="J36" s="469" t="s">
        <v>33</v>
      </c>
      <c r="K36" s="469" t="s">
        <v>33</v>
      </c>
      <c r="L36" s="20"/>
      <c r="M36" s="22"/>
      <c r="N36" s="22"/>
      <c r="O36" s="22"/>
      <c r="P36" s="22"/>
      <c r="Q36" s="22"/>
      <c r="R36" s="29"/>
      <c r="S36" s="29"/>
      <c r="T36" s="29"/>
      <c r="U36" s="29"/>
      <c r="V36" s="140"/>
      <c r="W36" s="29"/>
      <c r="X36" s="29"/>
      <c r="Y36" s="29"/>
      <c r="Z36" s="150"/>
      <c r="AA36" s="29"/>
      <c r="AB36" s="29"/>
      <c r="AC36" s="29"/>
      <c r="AD36" s="36"/>
      <c r="AE36" s="36"/>
      <c r="AF36" s="29"/>
      <c r="AG36" s="29"/>
      <c r="AH36" s="29"/>
      <c r="AI36" s="151"/>
      <c r="AJ36" s="687" t="s">
        <v>527</v>
      </c>
    </row>
    <row r="37" spans="1:38" ht="24.95" customHeight="1" x14ac:dyDescent="0.2">
      <c r="A37" s="535"/>
      <c r="B37" s="704"/>
      <c r="C37" s="614"/>
      <c r="D37" s="707"/>
      <c r="E37" s="710"/>
      <c r="F37" s="364"/>
      <c r="G37" s="364"/>
      <c r="H37" s="463"/>
      <c r="I37" s="468"/>
      <c r="J37" s="468"/>
      <c r="K37" s="468"/>
      <c r="L37" s="20"/>
      <c r="M37" s="22"/>
      <c r="N37" s="22"/>
      <c r="O37" s="22"/>
      <c r="P37" s="22"/>
      <c r="Q37" s="22"/>
      <c r="R37" s="29"/>
      <c r="S37" s="29"/>
      <c r="T37" s="29"/>
      <c r="U37" s="29"/>
      <c r="V37" s="140"/>
      <c r="W37" s="29"/>
      <c r="X37" s="29">
        <f t="shared" ref="X37:X49" si="0">W37</f>
        <v>0</v>
      </c>
      <c r="Y37" s="29"/>
      <c r="Z37" s="150"/>
      <c r="AA37" s="29"/>
      <c r="AB37" s="29"/>
      <c r="AC37" s="29"/>
      <c r="AD37" s="36"/>
      <c r="AE37" s="36"/>
      <c r="AF37" s="29"/>
      <c r="AG37" s="29"/>
      <c r="AH37" s="29"/>
      <c r="AI37" s="151"/>
      <c r="AJ37" s="688"/>
    </row>
    <row r="38" spans="1:38" ht="24.95" customHeight="1" x14ac:dyDescent="0.2">
      <c r="A38" s="533">
        <v>18</v>
      </c>
      <c r="B38" s="520" t="s">
        <v>528</v>
      </c>
      <c r="C38" s="612">
        <v>2020.5</v>
      </c>
      <c r="D38" s="697" t="s">
        <v>529</v>
      </c>
      <c r="E38" s="620" t="s">
        <v>222</v>
      </c>
      <c r="F38" s="362" t="s">
        <v>530</v>
      </c>
      <c r="G38" s="362" t="s">
        <v>531</v>
      </c>
      <c r="H38" s="620" t="s">
        <v>532</v>
      </c>
      <c r="I38" s="469" t="s">
        <v>533</v>
      </c>
      <c r="J38" s="469" t="s">
        <v>33</v>
      </c>
      <c r="K38" s="469" t="s">
        <v>33</v>
      </c>
      <c r="L38" s="20"/>
      <c r="M38" s="22"/>
      <c r="N38" s="22"/>
      <c r="O38" s="22"/>
      <c r="P38" s="22"/>
      <c r="Q38" s="22"/>
      <c r="R38" s="29"/>
      <c r="S38" s="29"/>
      <c r="T38" s="29"/>
      <c r="U38" s="29"/>
      <c r="V38" s="140"/>
      <c r="W38" s="29"/>
      <c r="X38" s="29">
        <f t="shared" si="0"/>
        <v>0</v>
      </c>
      <c r="Y38" s="29"/>
      <c r="Z38" s="150"/>
      <c r="AA38" s="29"/>
      <c r="AB38" s="29"/>
      <c r="AC38" s="29"/>
      <c r="AD38" s="37"/>
      <c r="AE38" s="37"/>
      <c r="AF38" s="32"/>
      <c r="AG38" s="29"/>
      <c r="AH38" s="29"/>
      <c r="AI38" s="151"/>
      <c r="AJ38" s="687"/>
    </row>
    <row r="39" spans="1:38" ht="24.95" customHeight="1" x14ac:dyDescent="0.2">
      <c r="A39" s="535"/>
      <c r="B39" s="522"/>
      <c r="C39" s="614"/>
      <c r="D39" s="707"/>
      <c r="E39" s="463"/>
      <c r="F39" s="364"/>
      <c r="G39" s="364"/>
      <c r="H39" s="463"/>
      <c r="I39" s="468"/>
      <c r="J39" s="468"/>
      <c r="K39" s="468"/>
      <c r="L39" s="26"/>
      <c r="M39" s="21"/>
      <c r="N39" s="21"/>
      <c r="O39" s="20">
        <v>4958.17</v>
      </c>
      <c r="P39" s="21"/>
      <c r="Q39" s="21"/>
      <c r="R39" s="29">
        <f>O39</f>
        <v>4958.17</v>
      </c>
      <c r="S39" s="32"/>
      <c r="T39" s="32"/>
      <c r="U39" s="32"/>
      <c r="V39" s="140">
        <f>R39</f>
        <v>4958.17</v>
      </c>
      <c r="W39" s="29">
        <v>4958.17</v>
      </c>
      <c r="X39" s="29">
        <f t="shared" si="0"/>
        <v>4958.17</v>
      </c>
      <c r="Y39" s="29">
        <f>V39-X39</f>
        <v>0</v>
      </c>
      <c r="Z39" s="150">
        <f>V39*0.8</f>
        <v>3966.5360000000001</v>
      </c>
      <c r="AA39" s="29">
        <v>3966.54</v>
      </c>
      <c r="AB39" s="29">
        <v>3966.54</v>
      </c>
      <c r="AC39" s="29">
        <f>Z39-AB39</f>
        <v>-3.9999999999054126E-3</v>
      </c>
      <c r="AD39" s="37"/>
      <c r="AE39" s="37"/>
      <c r="AF39" s="32"/>
      <c r="AG39" s="29"/>
      <c r="AH39" s="29"/>
      <c r="AI39" s="151"/>
      <c r="AJ39" s="688"/>
    </row>
    <row r="40" spans="1:38" ht="24.95" customHeight="1" x14ac:dyDescent="0.2">
      <c r="A40" s="533">
        <v>19</v>
      </c>
      <c r="B40" s="702" t="s">
        <v>534</v>
      </c>
      <c r="C40" s="612">
        <v>2020.6</v>
      </c>
      <c r="D40" s="697" t="s">
        <v>535</v>
      </c>
      <c r="E40" s="620" t="s">
        <v>222</v>
      </c>
      <c r="F40" s="362" t="s">
        <v>536</v>
      </c>
      <c r="G40" s="362" t="s">
        <v>503</v>
      </c>
      <c r="H40" s="620" t="s">
        <v>537</v>
      </c>
      <c r="I40" s="469" t="s">
        <v>538</v>
      </c>
      <c r="J40" s="469" t="s">
        <v>33</v>
      </c>
      <c r="K40" s="469" t="s">
        <v>33</v>
      </c>
      <c r="L40" s="20">
        <v>706667</v>
      </c>
      <c r="M40" s="22">
        <v>84308</v>
      </c>
      <c r="N40" s="22"/>
      <c r="O40" s="20"/>
      <c r="P40" s="22"/>
      <c r="Q40" s="22"/>
      <c r="R40" s="29"/>
      <c r="S40" s="29"/>
      <c r="T40" s="29"/>
      <c r="U40" s="29"/>
      <c r="V40" s="140"/>
      <c r="W40" s="29"/>
      <c r="X40" s="29">
        <f t="shared" si="0"/>
        <v>0</v>
      </c>
      <c r="Y40" s="29"/>
      <c r="Z40" s="150"/>
      <c r="AA40" s="29"/>
      <c r="AB40" s="29"/>
      <c r="AC40" s="29"/>
      <c r="AD40" s="36" t="s">
        <v>324</v>
      </c>
      <c r="AE40" s="36" t="s">
        <v>286</v>
      </c>
      <c r="AF40" s="29">
        <f>9.111*2500+8*150</f>
        <v>23977.5</v>
      </c>
      <c r="AG40" s="29"/>
      <c r="AH40" s="29"/>
      <c r="AI40" s="151"/>
      <c r="AJ40" s="687"/>
    </row>
    <row r="41" spans="1:38" ht="24.95" customHeight="1" x14ac:dyDescent="0.2">
      <c r="A41" s="534"/>
      <c r="B41" s="703"/>
      <c r="C41" s="613"/>
      <c r="D41" s="698"/>
      <c r="E41" s="621"/>
      <c r="F41" s="363"/>
      <c r="G41" s="363"/>
      <c r="H41" s="621"/>
      <c r="I41" s="619"/>
      <c r="J41" s="619"/>
      <c r="K41" s="619"/>
      <c r="L41" s="20"/>
      <c r="M41" s="22"/>
      <c r="N41" s="22"/>
      <c r="O41" s="20"/>
      <c r="P41" s="22"/>
      <c r="Q41" s="22"/>
      <c r="R41" s="29"/>
      <c r="S41" s="29"/>
      <c r="T41" s="29"/>
      <c r="U41" s="29"/>
      <c r="V41" s="140"/>
      <c r="W41" s="29"/>
      <c r="X41" s="29">
        <f t="shared" si="0"/>
        <v>0</v>
      </c>
      <c r="Y41" s="29"/>
      <c r="Z41" s="150"/>
      <c r="AA41" s="29"/>
      <c r="AB41" s="29"/>
      <c r="AC41" s="29"/>
      <c r="AD41" s="36" t="s">
        <v>62</v>
      </c>
      <c r="AE41" s="36" t="s">
        <v>63</v>
      </c>
      <c r="AF41" s="29">
        <f>91*50</f>
        <v>4550</v>
      </c>
      <c r="AG41" s="29"/>
      <c r="AH41" s="29"/>
      <c r="AI41" s="151"/>
      <c r="AJ41" s="725"/>
    </row>
    <row r="42" spans="1:38" ht="24.95" customHeight="1" x14ac:dyDescent="0.2">
      <c r="A42" s="535"/>
      <c r="B42" s="704"/>
      <c r="C42" s="614"/>
      <c r="D42" s="707"/>
      <c r="E42" s="463"/>
      <c r="F42" s="364"/>
      <c r="G42" s="364"/>
      <c r="H42" s="463"/>
      <c r="I42" s="468"/>
      <c r="J42" s="468"/>
      <c r="K42" s="468"/>
      <c r="L42" s="20"/>
      <c r="M42" s="22"/>
      <c r="N42" s="22"/>
      <c r="O42" s="22"/>
      <c r="P42" s="22"/>
      <c r="Q42" s="22"/>
      <c r="R42" s="29"/>
      <c r="S42" s="29"/>
      <c r="T42" s="29"/>
      <c r="U42" s="29"/>
      <c r="V42" s="140"/>
      <c r="W42" s="29"/>
      <c r="X42" s="29">
        <f t="shared" si="0"/>
        <v>0</v>
      </c>
      <c r="Y42" s="29"/>
      <c r="Z42" s="150"/>
      <c r="AA42" s="29"/>
      <c r="AB42" s="29"/>
      <c r="AC42" s="29"/>
      <c r="AD42" s="36"/>
      <c r="AE42" s="36"/>
      <c r="AF42" s="29"/>
      <c r="AG42" s="29"/>
      <c r="AH42" s="29"/>
      <c r="AI42" s="151"/>
      <c r="AJ42" s="688"/>
    </row>
    <row r="43" spans="1:38" ht="24.95" customHeight="1" x14ac:dyDescent="0.2">
      <c r="A43" s="533">
        <v>20</v>
      </c>
      <c r="B43" s="520" t="s">
        <v>539</v>
      </c>
      <c r="C43" s="612">
        <v>2020.6</v>
      </c>
      <c r="D43" s="305" t="s">
        <v>540</v>
      </c>
      <c r="E43" s="620" t="s">
        <v>222</v>
      </c>
      <c r="F43" s="362" t="s">
        <v>541</v>
      </c>
      <c r="G43" s="362" t="s">
        <v>542</v>
      </c>
      <c r="H43" s="620" t="s">
        <v>543</v>
      </c>
      <c r="I43" s="633" t="s">
        <v>544</v>
      </c>
      <c r="J43" s="469" t="s">
        <v>263</v>
      </c>
      <c r="K43" s="469" t="s">
        <v>33</v>
      </c>
      <c r="L43" s="20">
        <v>504878.95</v>
      </c>
      <c r="M43" s="21"/>
      <c r="N43" s="21"/>
      <c r="O43" s="22"/>
      <c r="P43" s="22"/>
      <c r="Q43" s="22"/>
      <c r="R43" s="29">
        <v>67483.354769555139</v>
      </c>
      <c r="S43" s="32"/>
      <c r="T43" s="32"/>
      <c r="U43" s="29">
        <f>R43</f>
        <v>67483.354769555139</v>
      </c>
      <c r="V43" s="140">
        <f>U43</f>
        <v>67483.354769555139</v>
      </c>
      <c r="W43" s="29">
        <f>V43</f>
        <v>67483.354769555139</v>
      </c>
      <c r="X43" s="29">
        <f t="shared" si="0"/>
        <v>67483.354769555139</v>
      </c>
      <c r="Y43" s="29">
        <f>V43-X43</f>
        <v>0</v>
      </c>
      <c r="Z43" s="150">
        <f>V43*0.95-0.86</f>
        <v>64108.327031077381</v>
      </c>
      <c r="AA43" s="29">
        <f>Z43</f>
        <v>64108.327031077381</v>
      </c>
      <c r="AB43" s="29">
        <f>AA43</f>
        <v>64108.327031077381</v>
      </c>
      <c r="AC43" s="29">
        <f>Z43-AB43</f>
        <v>0</v>
      </c>
      <c r="AD43" s="37"/>
      <c r="AE43" s="37"/>
      <c r="AF43" s="32"/>
      <c r="AG43" s="29"/>
      <c r="AH43" s="29"/>
      <c r="AI43" s="151"/>
      <c r="AJ43" s="44"/>
    </row>
    <row r="44" spans="1:38" ht="24.95" customHeight="1" x14ac:dyDescent="0.2">
      <c r="A44" s="534"/>
      <c r="B44" s="521"/>
      <c r="C44" s="613"/>
      <c r="D44" s="305" t="s">
        <v>545</v>
      </c>
      <c r="E44" s="621"/>
      <c r="F44" s="363"/>
      <c r="G44" s="363"/>
      <c r="H44" s="621"/>
      <c r="I44" s="634"/>
      <c r="J44" s="619"/>
      <c r="K44" s="619"/>
      <c r="L44" s="20">
        <v>429369.06</v>
      </c>
      <c r="M44" s="21"/>
      <c r="N44" s="21"/>
      <c r="O44" s="22"/>
      <c r="P44" s="22"/>
      <c r="Q44" s="22"/>
      <c r="R44" s="29">
        <v>57390.51826789452</v>
      </c>
      <c r="S44" s="32"/>
      <c r="T44" s="32"/>
      <c r="U44" s="29">
        <f t="shared" ref="U44:U47" si="1">R44</f>
        <v>57390.51826789452</v>
      </c>
      <c r="V44" s="140">
        <f t="shared" ref="V44:W47" si="2">U44</f>
        <v>57390.51826789452</v>
      </c>
      <c r="W44" s="29">
        <f t="shared" si="2"/>
        <v>57390.51826789452</v>
      </c>
      <c r="X44" s="29">
        <f t="shared" si="0"/>
        <v>57390.51826789452</v>
      </c>
      <c r="Y44" s="29">
        <f t="shared" ref="Y44:Y47" si="3">V44-X44</f>
        <v>0</v>
      </c>
      <c r="Z44" s="150">
        <f t="shared" ref="Z44:Z47" si="4">V44*0.95</f>
        <v>54520.992354499795</v>
      </c>
      <c r="AA44" s="29">
        <f t="shared" ref="AA44:AB44" si="5">Z44</f>
        <v>54520.992354499795</v>
      </c>
      <c r="AB44" s="29">
        <f t="shared" si="5"/>
        <v>54520.992354499795</v>
      </c>
      <c r="AC44" s="29">
        <f t="shared" ref="AC44:AC47" si="6">Z44-AB44</f>
        <v>0</v>
      </c>
      <c r="AD44" s="37"/>
      <c r="AE44" s="37"/>
      <c r="AF44" s="32"/>
      <c r="AG44" s="29"/>
      <c r="AH44" s="29"/>
      <c r="AI44" s="151"/>
      <c r="AJ44" s="44"/>
    </row>
    <row r="45" spans="1:38" ht="24.95" customHeight="1" x14ac:dyDescent="0.2">
      <c r="A45" s="534"/>
      <c r="B45" s="521"/>
      <c r="C45" s="613"/>
      <c r="D45" s="305" t="s">
        <v>546</v>
      </c>
      <c r="E45" s="621"/>
      <c r="F45" s="363"/>
      <c r="G45" s="363"/>
      <c r="H45" s="621"/>
      <c r="I45" s="634"/>
      <c r="J45" s="619"/>
      <c r="K45" s="619"/>
      <c r="L45" s="20">
        <v>320008.45</v>
      </c>
      <c r="M45" s="21"/>
      <c r="N45" s="21"/>
      <c r="O45" s="22"/>
      <c r="P45" s="22"/>
      <c r="Q45" s="22"/>
      <c r="R45" s="29">
        <v>42773.111773833007</v>
      </c>
      <c r="S45" s="32"/>
      <c r="T45" s="32"/>
      <c r="U45" s="29">
        <f t="shared" si="1"/>
        <v>42773.111773833007</v>
      </c>
      <c r="V45" s="140">
        <f t="shared" si="2"/>
        <v>42773.111773833007</v>
      </c>
      <c r="W45" s="29">
        <f t="shared" si="2"/>
        <v>42773.111773833007</v>
      </c>
      <c r="X45" s="29">
        <f t="shared" si="0"/>
        <v>42773.111773833007</v>
      </c>
      <c r="Y45" s="29">
        <f t="shared" si="3"/>
        <v>0</v>
      </c>
      <c r="Z45" s="150">
        <f t="shared" si="4"/>
        <v>40634.456185141353</v>
      </c>
      <c r="AA45" s="29">
        <f t="shared" ref="AA45:AB45" si="7">Z45</f>
        <v>40634.456185141353</v>
      </c>
      <c r="AB45" s="29">
        <f t="shared" si="7"/>
        <v>40634.456185141353</v>
      </c>
      <c r="AC45" s="29">
        <f t="shared" si="6"/>
        <v>0</v>
      </c>
      <c r="AD45" s="37"/>
      <c r="AE45" s="37"/>
      <c r="AF45" s="32"/>
      <c r="AG45" s="29"/>
      <c r="AH45" s="29"/>
      <c r="AI45" s="151"/>
      <c r="AJ45" s="44"/>
    </row>
    <row r="46" spans="1:38" ht="24.95" customHeight="1" x14ac:dyDescent="0.2">
      <c r="A46" s="534"/>
      <c r="B46" s="521"/>
      <c r="C46" s="613"/>
      <c r="D46" s="305" t="s">
        <v>547</v>
      </c>
      <c r="E46" s="621"/>
      <c r="F46" s="363"/>
      <c r="G46" s="363"/>
      <c r="H46" s="621"/>
      <c r="I46" s="634"/>
      <c r="J46" s="619"/>
      <c r="K46" s="619"/>
      <c r="L46" s="20">
        <v>452979.99</v>
      </c>
      <c r="M46" s="21"/>
      <c r="N46" s="21"/>
      <c r="O46" s="22"/>
      <c r="P46" s="22"/>
      <c r="Q46" s="22"/>
      <c r="R46" s="29">
        <v>60546.412894971232</v>
      </c>
      <c r="S46" s="32"/>
      <c r="T46" s="32"/>
      <c r="U46" s="29">
        <f t="shared" si="1"/>
        <v>60546.412894971232</v>
      </c>
      <c r="V46" s="140">
        <f t="shared" si="2"/>
        <v>60546.412894971232</v>
      </c>
      <c r="W46" s="29">
        <f t="shared" si="2"/>
        <v>60546.412894971232</v>
      </c>
      <c r="X46" s="29">
        <f t="shared" si="0"/>
        <v>60546.412894971232</v>
      </c>
      <c r="Y46" s="29">
        <f t="shared" si="3"/>
        <v>0</v>
      </c>
      <c r="Z46" s="150">
        <f t="shared" si="4"/>
        <v>57519.092250222668</v>
      </c>
      <c r="AA46" s="29">
        <f t="shared" ref="AA46:AB46" si="8">Z46</f>
        <v>57519.092250222668</v>
      </c>
      <c r="AB46" s="29">
        <f t="shared" si="8"/>
        <v>57519.092250222668</v>
      </c>
      <c r="AC46" s="29">
        <f t="shared" si="6"/>
        <v>0</v>
      </c>
      <c r="AD46" s="37"/>
      <c r="AE46" s="37"/>
      <c r="AF46" s="32"/>
      <c r="AG46" s="29"/>
      <c r="AH46" s="29"/>
      <c r="AI46" s="151"/>
      <c r="AJ46" s="44"/>
    </row>
    <row r="47" spans="1:38" ht="24.95" customHeight="1" x14ac:dyDescent="0.2">
      <c r="A47" s="535"/>
      <c r="B47" s="522"/>
      <c r="C47" s="614"/>
      <c r="D47" s="305" t="s">
        <v>548</v>
      </c>
      <c r="E47" s="463"/>
      <c r="F47" s="364"/>
      <c r="G47" s="364"/>
      <c r="H47" s="463"/>
      <c r="I47" s="711"/>
      <c r="J47" s="468"/>
      <c r="K47" s="468"/>
      <c r="L47" s="20">
        <v>88832</v>
      </c>
      <c r="M47" s="21"/>
      <c r="N47" s="21"/>
      <c r="O47" s="22"/>
      <c r="P47" s="22"/>
      <c r="Q47" s="22"/>
      <c r="R47" s="29">
        <v>11873.502293746098</v>
      </c>
      <c r="S47" s="32"/>
      <c r="T47" s="32"/>
      <c r="U47" s="29">
        <f t="shared" si="1"/>
        <v>11873.502293746098</v>
      </c>
      <c r="V47" s="140">
        <f t="shared" si="2"/>
        <v>11873.502293746098</v>
      </c>
      <c r="W47" s="29">
        <f t="shared" si="2"/>
        <v>11873.502293746098</v>
      </c>
      <c r="X47" s="29">
        <f t="shared" si="0"/>
        <v>11873.502293746098</v>
      </c>
      <c r="Y47" s="29">
        <f t="shared" si="3"/>
        <v>0</v>
      </c>
      <c r="Z47" s="150">
        <f t="shared" si="4"/>
        <v>11279.827179058793</v>
      </c>
      <c r="AA47" s="29">
        <f t="shared" ref="AA47:AB47" si="9">Z47</f>
        <v>11279.827179058793</v>
      </c>
      <c r="AB47" s="29">
        <f t="shared" si="9"/>
        <v>11279.827179058793</v>
      </c>
      <c r="AC47" s="29">
        <f t="shared" si="6"/>
        <v>0</v>
      </c>
      <c r="AD47" s="37"/>
      <c r="AE47" s="37"/>
      <c r="AF47" s="32"/>
      <c r="AG47" s="29"/>
      <c r="AH47" s="29"/>
      <c r="AI47" s="151"/>
      <c r="AJ47" s="44"/>
    </row>
    <row r="48" spans="1:38" ht="24.95" customHeight="1" x14ac:dyDescent="0.2">
      <c r="A48" s="533">
        <v>21</v>
      </c>
      <c r="B48" s="520" t="s">
        <v>549</v>
      </c>
      <c r="C48" s="612">
        <v>2020.7</v>
      </c>
      <c r="D48" s="520" t="s">
        <v>550</v>
      </c>
      <c r="E48" s="620" t="s">
        <v>222</v>
      </c>
      <c r="F48" s="362" t="s">
        <v>551</v>
      </c>
      <c r="G48" s="362" t="s">
        <v>228</v>
      </c>
      <c r="H48" s="620" t="s">
        <v>30</v>
      </c>
      <c r="I48" s="620">
        <v>13811745176</v>
      </c>
      <c r="J48" s="620" t="s">
        <v>32</v>
      </c>
      <c r="K48" s="620" t="s">
        <v>33</v>
      </c>
      <c r="L48" s="20">
        <v>50292</v>
      </c>
      <c r="M48" s="58">
        <v>77000</v>
      </c>
      <c r="N48" s="21"/>
      <c r="O48" s="22">
        <v>50198</v>
      </c>
      <c r="P48" s="22">
        <v>77000</v>
      </c>
      <c r="Q48" s="21"/>
      <c r="R48" s="29">
        <f>O48</f>
        <v>50198</v>
      </c>
      <c r="S48" s="29">
        <f>P48</f>
        <v>77000</v>
      </c>
      <c r="T48" s="32"/>
      <c r="U48" s="29">
        <f>R48+S48</f>
        <v>127198</v>
      </c>
      <c r="V48" s="340">
        <f>U48</f>
        <v>127198</v>
      </c>
      <c r="W48" s="29">
        <v>101833.60000000001</v>
      </c>
      <c r="X48" s="29">
        <f t="shared" si="0"/>
        <v>101833.60000000001</v>
      </c>
      <c r="Y48" s="536">
        <f>V48-X48-X49</f>
        <v>0</v>
      </c>
      <c r="Z48" s="663">
        <f>V48*0.8</f>
        <v>101758.40000000001</v>
      </c>
      <c r="AA48" s="29">
        <f>X48*0.8</f>
        <v>81466.880000000005</v>
      </c>
      <c r="AB48" s="29">
        <f>AA48</f>
        <v>81466.880000000005</v>
      </c>
      <c r="AC48" s="536">
        <f>Z48-AB48-AB49</f>
        <v>0</v>
      </c>
      <c r="AD48" s="37"/>
      <c r="AE48" s="37"/>
      <c r="AF48" s="32"/>
      <c r="AG48" s="654">
        <f>23904.6</f>
        <v>23904.6</v>
      </c>
      <c r="AH48" s="654">
        <v>0</v>
      </c>
      <c r="AI48" s="730">
        <f>Z48-AG48-AH48</f>
        <v>77853.800000000017</v>
      </c>
      <c r="AJ48" s="726"/>
      <c r="AK48" s="252">
        <f>AG48/V48</f>
        <v>0.18793220019182691</v>
      </c>
      <c r="AL48" s="252">
        <f>AH48/(R48*0.8)</f>
        <v>0</v>
      </c>
    </row>
    <row r="49" spans="1:38" ht="24.95" customHeight="1" x14ac:dyDescent="0.2">
      <c r="A49" s="534"/>
      <c r="B49" s="521"/>
      <c r="C49" s="613"/>
      <c r="D49" s="521"/>
      <c r="E49" s="621"/>
      <c r="F49" s="363"/>
      <c r="G49" s="363"/>
      <c r="H49" s="621"/>
      <c r="I49" s="621"/>
      <c r="J49" s="621"/>
      <c r="K49" s="621"/>
      <c r="L49" s="26"/>
      <c r="M49" s="21"/>
      <c r="N49" s="21"/>
      <c r="O49" s="21"/>
      <c r="P49" s="21"/>
      <c r="Q49" s="21"/>
      <c r="R49" s="32"/>
      <c r="S49" s="32"/>
      <c r="T49" s="32"/>
      <c r="U49" s="32"/>
      <c r="V49" s="356"/>
      <c r="W49" s="29">
        <v>25364.400000000001</v>
      </c>
      <c r="X49" s="29">
        <f t="shared" si="0"/>
        <v>25364.400000000001</v>
      </c>
      <c r="Y49" s="537"/>
      <c r="Z49" s="664"/>
      <c r="AA49" s="29">
        <f>X49*0.8</f>
        <v>20291.520000000004</v>
      </c>
      <c r="AB49" s="29">
        <f>AA49</f>
        <v>20291.520000000004</v>
      </c>
      <c r="AC49" s="537"/>
      <c r="AD49" s="37"/>
      <c r="AE49" s="37"/>
      <c r="AF49" s="32"/>
      <c r="AG49" s="656"/>
      <c r="AH49" s="656"/>
      <c r="AI49" s="731"/>
      <c r="AJ49" s="729"/>
    </row>
    <row r="50" spans="1:38" ht="24.95" customHeight="1" x14ac:dyDescent="0.2">
      <c r="A50" s="533">
        <v>22</v>
      </c>
      <c r="B50" s="520" t="s">
        <v>552</v>
      </c>
      <c r="C50" s="612">
        <v>2020.11</v>
      </c>
      <c r="D50" s="520" t="s">
        <v>553</v>
      </c>
      <c r="E50" s="620" t="s">
        <v>222</v>
      </c>
      <c r="F50" s="362" t="s">
        <v>554</v>
      </c>
      <c r="G50" s="362" t="s">
        <v>519</v>
      </c>
      <c r="H50" s="620" t="s">
        <v>310</v>
      </c>
      <c r="I50" s="469" t="s">
        <v>311</v>
      </c>
      <c r="J50" s="469" t="s">
        <v>32</v>
      </c>
      <c r="K50" s="469" t="s">
        <v>32</v>
      </c>
      <c r="L50" s="641">
        <v>78996</v>
      </c>
      <c r="M50" s="561"/>
      <c r="N50" s="561"/>
      <c r="O50" s="557">
        <v>78996</v>
      </c>
      <c r="P50" s="561"/>
      <c r="Q50" s="561"/>
      <c r="R50" s="29"/>
      <c r="S50" s="29"/>
      <c r="T50" s="29"/>
      <c r="U50" s="29"/>
      <c r="V50" s="161"/>
      <c r="W50" s="29"/>
      <c r="X50" s="29"/>
      <c r="Y50" s="61"/>
      <c r="Z50" s="162"/>
      <c r="AA50" s="29"/>
      <c r="AB50" s="29"/>
      <c r="AC50" s="29"/>
      <c r="AD50" s="37"/>
      <c r="AE50" s="37"/>
      <c r="AF50" s="32"/>
      <c r="AG50" s="61"/>
      <c r="AH50" s="61"/>
      <c r="AI50" s="163"/>
      <c r="AJ50" s="726"/>
    </row>
    <row r="51" spans="1:38" ht="24.95" customHeight="1" x14ac:dyDescent="0.2">
      <c r="A51" s="534"/>
      <c r="B51" s="521"/>
      <c r="C51" s="613"/>
      <c r="D51" s="521"/>
      <c r="E51" s="621"/>
      <c r="F51" s="363"/>
      <c r="G51" s="363"/>
      <c r="H51" s="621"/>
      <c r="I51" s="619"/>
      <c r="J51" s="619"/>
      <c r="K51" s="619"/>
      <c r="L51" s="642"/>
      <c r="M51" s="562"/>
      <c r="N51" s="562"/>
      <c r="O51" s="558"/>
      <c r="P51" s="562"/>
      <c r="Q51" s="562"/>
      <c r="R51" s="29"/>
      <c r="S51" s="29"/>
      <c r="T51" s="29"/>
      <c r="U51" s="29"/>
      <c r="V51" s="161"/>
      <c r="W51" s="29"/>
      <c r="X51" s="29"/>
      <c r="Y51" s="61"/>
      <c r="Z51" s="162"/>
      <c r="AA51" s="29"/>
      <c r="AB51" s="29"/>
      <c r="AC51" s="29"/>
      <c r="AD51" s="37"/>
      <c r="AE51" s="37"/>
      <c r="AF51" s="32"/>
      <c r="AG51" s="61"/>
      <c r="AH51" s="61"/>
      <c r="AI51" s="163"/>
      <c r="AJ51" s="727"/>
    </row>
    <row r="52" spans="1:38" ht="24.95" customHeight="1" thickBot="1" x14ac:dyDescent="0.25">
      <c r="A52" s="535"/>
      <c r="B52" s="522"/>
      <c r="C52" s="614"/>
      <c r="D52" s="522"/>
      <c r="E52" s="463"/>
      <c r="F52" s="364"/>
      <c r="G52" s="364"/>
      <c r="H52" s="463"/>
      <c r="I52" s="468"/>
      <c r="J52" s="468"/>
      <c r="K52" s="468"/>
      <c r="L52" s="713"/>
      <c r="M52" s="716"/>
      <c r="N52" s="716"/>
      <c r="O52" s="717"/>
      <c r="P52" s="716"/>
      <c r="Q52" s="716"/>
      <c r="R52" s="29"/>
      <c r="S52" s="29"/>
      <c r="T52" s="29"/>
      <c r="U52" s="29"/>
      <c r="V52" s="161"/>
      <c r="W52" s="29"/>
      <c r="X52" s="29"/>
      <c r="Y52" s="61"/>
      <c r="Z52" s="162"/>
      <c r="AA52" s="29"/>
      <c r="AB52" s="29"/>
      <c r="AC52" s="29"/>
      <c r="AD52" s="62"/>
      <c r="AE52" s="62"/>
      <c r="AF52" s="63"/>
      <c r="AG52" s="61"/>
      <c r="AH52" s="61"/>
      <c r="AI52" s="163"/>
      <c r="AJ52" s="728"/>
    </row>
    <row r="53" spans="1:38" s="2" customFormat="1" ht="30" customHeight="1" thickBot="1" x14ac:dyDescent="0.25">
      <c r="A53" s="705" t="s">
        <v>224</v>
      </c>
      <c r="B53" s="706"/>
      <c r="C53" s="706"/>
      <c r="D53" s="706"/>
      <c r="E53" s="706"/>
      <c r="F53" s="706"/>
      <c r="G53" s="706"/>
      <c r="H53" s="706"/>
      <c r="I53" s="706"/>
      <c r="J53" s="706"/>
      <c r="K53" s="706"/>
      <c r="L53" s="261">
        <f t="shared" ref="L53:R53" si="10">SUM(L5:L52)</f>
        <v>6440259.2600000007</v>
      </c>
      <c r="M53" s="261">
        <f t="shared" si="10"/>
        <v>624146</v>
      </c>
      <c r="N53" s="261">
        <f t="shared" si="10"/>
        <v>388000</v>
      </c>
      <c r="O53" s="261">
        <f t="shared" si="10"/>
        <v>1873027.3</v>
      </c>
      <c r="P53" s="261">
        <f t="shared" si="10"/>
        <v>256285.59</v>
      </c>
      <c r="Q53" s="261">
        <f t="shared" si="10"/>
        <v>369882</v>
      </c>
      <c r="R53" s="261">
        <f t="shared" si="10"/>
        <v>1697716.45</v>
      </c>
      <c r="S53" s="261">
        <f>SUM(S5:S6)</f>
        <v>0</v>
      </c>
      <c r="T53" s="261">
        <f>SUM(T5:T6)</f>
        <v>0</v>
      </c>
      <c r="U53" s="261">
        <f t="shared" ref="U53:AC53" si="11">SUM(U5:U52)</f>
        <v>2654925.87</v>
      </c>
      <c r="V53" s="262">
        <f t="shared" si="11"/>
        <v>2659884.04</v>
      </c>
      <c r="W53" s="261">
        <f t="shared" si="11"/>
        <v>2659884.04</v>
      </c>
      <c r="X53" s="261">
        <f t="shared" si="11"/>
        <v>2659884.04</v>
      </c>
      <c r="Y53" s="261">
        <f t="shared" si="11"/>
        <v>3.637978807091713E-12</v>
      </c>
      <c r="Z53" s="262">
        <f t="shared" si="11"/>
        <v>2096665.5269999998</v>
      </c>
      <c r="AA53" s="261">
        <f t="shared" si="11"/>
        <v>2079932.2029999997</v>
      </c>
      <c r="AB53" s="261">
        <f t="shared" si="11"/>
        <v>2079932.2029999997</v>
      </c>
      <c r="AC53" s="261">
        <f t="shared" si="11"/>
        <v>16733.324000000008</v>
      </c>
      <c r="AD53" s="263"/>
      <c r="AE53" s="263"/>
      <c r="AF53" s="261">
        <f>SUM(AF5:AF52)</f>
        <v>359883.9</v>
      </c>
      <c r="AG53" s="261">
        <f>SUM(AG5:AG52)</f>
        <v>293754.69999999995</v>
      </c>
      <c r="AH53" s="261">
        <f>SUM(AH5:AH52)</f>
        <v>179558.23</v>
      </c>
      <c r="AI53" s="262">
        <f>SUM(AI5:AI52)</f>
        <v>916446.56600000011</v>
      </c>
      <c r="AJ53" s="264"/>
      <c r="AK53" s="252"/>
      <c r="AL53" s="252"/>
    </row>
    <row r="54" spans="1:38" s="2" customFormat="1" ht="35.1" customHeight="1" x14ac:dyDescent="0.2">
      <c r="A54" s="586" t="s">
        <v>208</v>
      </c>
      <c r="B54" s="586"/>
      <c r="C54" s="586"/>
      <c r="D54" s="586"/>
      <c r="E54" s="586"/>
      <c r="F54" s="586"/>
      <c r="G54" s="586"/>
      <c r="H54" s="586"/>
      <c r="I54" s="586"/>
      <c r="J54" s="586"/>
      <c r="K54" s="586"/>
      <c r="L54" s="46">
        <v>6333769.2599999998</v>
      </c>
      <c r="M54" s="46">
        <v>642545</v>
      </c>
      <c r="N54" s="46">
        <v>190000</v>
      </c>
      <c r="O54" s="46">
        <v>1141359.7</v>
      </c>
      <c r="P54" s="46">
        <v>219316.59</v>
      </c>
      <c r="Q54" s="46">
        <v>176882</v>
      </c>
      <c r="R54" s="46">
        <v>1136401.53</v>
      </c>
      <c r="S54" s="46">
        <v>0</v>
      </c>
      <c r="T54" s="46">
        <v>0</v>
      </c>
      <c r="U54" s="46">
        <v>1355718.12</v>
      </c>
      <c r="V54" s="152">
        <v>1537558.29</v>
      </c>
      <c r="W54" s="46">
        <v>1124881.72</v>
      </c>
      <c r="X54" s="46">
        <v>1124881.72</v>
      </c>
      <c r="Y54" s="46">
        <v>25364.400000000001</v>
      </c>
      <c r="Z54" s="164">
        <v>851540.652</v>
      </c>
      <c r="AA54" s="46">
        <v>150349.70000000001</v>
      </c>
      <c r="AB54" s="46">
        <v>150349.70000000001</v>
      </c>
      <c r="AC54" s="46">
        <v>0</v>
      </c>
      <c r="AD54" s="51"/>
      <c r="AE54" s="51"/>
      <c r="AF54" s="46">
        <v>90917.5</v>
      </c>
      <c r="AG54" s="46">
        <v>255762.03</v>
      </c>
      <c r="AH54" s="46">
        <v>150824.2648</v>
      </c>
      <c r="AI54" s="165">
        <v>495622.30119999999</v>
      </c>
      <c r="AJ54" s="53"/>
      <c r="AK54" s="252"/>
      <c r="AL54" s="252"/>
    </row>
    <row r="57" spans="1:38" ht="24.95" customHeight="1" x14ac:dyDescent="0.2">
      <c r="L57" s="5">
        <f>720/12</f>
        <v>60</v>
      </c>
    </row>
  </sheetData>
  <mergeCells count="366">
    <mergeCell ref="AJ40:AJ42"/>
    <mergeCell ref="AJ38:AJ39"/>
    <mergeCell ref="AJ34:AJ35"/>
    <mergeCell ref="AJ50:AJ52"/>
    <mergeCell ref="AJ48:AJ49"/>
    <mergeCell ref="U34:U35"/>
    <mergeCell ref="T34:T35"/>
    <mergeCell ref="S34:S35"/>
    <mergeCell ref="R34:R35"/>
    <mergeCell ref="AJ36:AJ37"/>
    <mergeCell ref="AH48:AH49"/>
    <mergeCell ref="AI48:AI49"/>
    <mergeCell ref="AC48:AC49"/>
    <mergeCell ref="Y48:Y49"/>
    <mergeCell ref="Z48:Z49"/>
    <mergeCell ref="Y34:Y35"/>
    <mergeCell ref="AG48:AG49"/>
    <mergeCell ref="AJ31:AJ33"/>
    <mergeCell ref="AJ28:AJ30"/>
    <mergeCell ref="AI25:AI26"/>
    <mergeCell ref="AJ13:AJ15"/>
    <mergeCell ref="AJ16:AJ18"/>
    <mergeCell ref="AA13:AA15"/>
    <mergeCell ref="AB13:AB15"/>
    <mergeCell ref="AI21:AI22"/>
    <mergeCell ref="AI23:AI24"/>
    <mergeCell ref="AG23:AG24"/>
    <mergeCell ref="AC19:AC20"/>
    <mergeCell ref="AG25:AG26"/>
    <mergeCell ref="AH25:AH26"/>
    <mergeCell ref="AC5:AC6"/>
    <mergeCell ref="AC7:AC9"/>
    <mergeCell ref="AC13:AC15"/>
    <mergeCell ref="AC25:AC26"/>
    <mergeCell ref="Y25:Y26"/>
    <mergeCell ref="AK2:AK4"/>
    <mergeCell ref="AH7:AH9"/>
    <mergeCell ref="AH10:AH12"/>
    <mergeCell ref="AH13:AH15"/>
    <mergeCell ref="AH16:AH18"/>
    <mergeCell ref="AH21:AH22"/>
    <mergeCell ref="AH23:AH24"/>
    <mergeCell ref="AJ19:AJ20"/>
    <mergeCell ref="AI19:AI20"/>
    <mergeCell ref="AH19:AH20"/>
    <mergeCell ref="AJ23:AJ24"/>
    <mergeCell ref="AJ21:AJ22"/>
    <mergeCell ref="AI3:AI4"/>
    <mergeCell ref="AI5:AI6"/>
    <mergeCell ref="AI7:AI9"/>
    <mergeCell ref="AI10:AI12"/>
    <mergeCell ref="AI13:AI15"/>
    <mergeCell ref="AI16:AI18"/>
    <mergeCell ref="AJ25:AJ26"/>
    <mergeCell ref="AJ5:AJ6"/>
    <mergeCell ref="AJ7:AJ9"/>
    <mergeCell ref="AJ10:AJ12"/>
    <mergeCell ref="AG7:AG9"/>
    <mergeCell ref="AG10:AG12"/>
    <mergeCell ref="AG13:AG15"/>
    <mergeCell ref="AG16:AG18"/>
    <mergeCell ref="AG21:AG22"/>
    <mergeCell ref="AG19:AG20"/>
    <mergeCell ref="Z3:Z4"/>
    <mergeCell ref="Z5:Z6"/>
    <mergeCell ref="Z7:Z9"/>
    <mergeCell ref="Z10:Z12"/>
    <mergeCell ref="Z13:Z15"/>
    <mergeCell ref="Z16:Z18"/>
    <mergeCell ref="Z21:Z22"/>
    <mergeCell ref="Z23:Z24"/>
    <mergeCell ref="Z25:Z26"/>
    <mergeCell ref="Z19:Z20"/>
    <mergeCell ref="Y5:Y6"/>
    <mergeCell ref="Y7:Y9"/>
    <mergeCell ref="Y10:Y12"/>
    <mergeCell ref="Y13:Y15"/>
    <mergeCell ref="Y16:Y18"/>
    <mergeCell ref="Y21:Y22"/>
    <mergeCell ref="Y23:Y24"/>
    <mergeCell ref="V5:V6"/>
    <mergeCell ref="V7:V9"/>
    <mergeCell ref="V10:V12"/>
    <mergeCell ref="V13:V15"/>
    <mergeCell ref="V16:V18"/>
    <mergeCell ref="V21:V22"/>
    <mergeCell ref="V23:V24"/>
    <mergeCell ref="W7:W9"/>
    <mergeCell ref="W13:W15"/>
    <mergeCell ref="W21:W22"/>
    <mergeCell ref="W23:W24"/>
    <mergeCell ref="X7:X9"/>
    <mergeCell ref="Y19:Y20"/>
    <mergeCell ref="X13:X15"/>
    <mergeCell ref="X21:X22"/>
    <mergeCell ref="X23:X24"/>
    <mergeCell ref="V25:V26"/>
    <mergeCell ref="V48:V49"/>
    <mergeCell ref="V34:V35"/>
    <mergeCell ref="V19:V20"/>
    <mergeCell ref="S13:S15"/>
    <mergeCell ref="S21:S22"/>
    <mergeCell ref="S23:S24"/>
    <mergeCell ref="T13:T15"/>
    <mergeCell ref="T21:T22"/>
    <mergeCell ref="T23:T24"/>
    <mergeCell ref="U7:U9"/>
    <mergeCell ref="U13:U15"/>
    <mergeCell ref="U21:U22"/>
    <mergeCell ref="U23:U24"/>
    <mergeCell ref="U16:U18"/>
    <mergeCell ref="T16:T18"/>
    <mergeCell ref="S16:S18"/>
    <mergeCell ref="U19:U20"/>
    <mergeCell ref="T19:T20"/>
    <mergeCell ref="S19:S20"/>
    <mergeCell ref="Q13:Q15"/>
    <mergeCell ref="Q16:Q18"/>
    <mergeCell ref="Q21:Q22"/>
    <mergeCell ref="Q23:Q24"/>
    <mergeCell ref="Q50:Q52"/>
    <mergeCell ref="R13:R15"/>
    <mergeCell ref="R21:R22"/>
    <mergeCell ref="R23:R24"/>
    <mergeCell ref="R16:R18"/>
    <mergeCell ref="R19:R20"/>
    <mergeCell ref="Q19:Q20"/>
    <mergeCell ref="Q34:Q35"/>
    <mergeCell ref="O13:O15"/>
    <mergeCell ref="O16:O18"/>
    <mergeCell ref="O21:O22"/>
    <mergeCell ref="O23:O24"/>
    <mergeCell ref="O50:O52"/>
    <mergeCell ref="P3:P4"/>
    <mergeCell ref="P13:P15"/>
    <mergeCell ref="P16:P18"/>
    <mergeCell ref="P21:P22"/>
    <mergeCell ref="P23:P24"/>
    <mergeCell ref="P50:P52"/>
    <mergeCell ref="P19:P20"/>
    <mergeCell ref="O19:O20"/>
    <mergeCell ref="P34:P35"/>
    <mergeCell ref="O34:O35"/>
    <mergeCell ref="M13:M15"/>
    <mergeCell ref="M16:M18"/>
    <mergeCell ref="M50:M52"/>
    <mergeCell ref="N3:N4"/>
    <mergeCell ref="N13:N15"/>
    <mergeCell ref="N16:N18"/>
    <mergeCell ref="N21:N22"/>
    <mergeCell ref="N23:N24"/>
    <mergeCell ref="N50:N52"/>
    <mergeCell ref="N34:N35"/>
    <mergeCell ref="M34:M35"/>
    <mergeCell ref="N19:N20"/>
    <mergeCell ref="M19:M20"/>
    <mergeCell ref="L13:L15"/>
    <mergeCell ref="L16:L18"/>
    <mergeCell ref="L50:L52"/>
    <mergeCell ref="K21:K24"/>
    <mergeCell ref="K25:K26"/>
    <mergeCell ref="K28:K33"/>
    <mergeCell ref="K34:K35"/>
    <mergeCell ref="K36:K37"/>
    <mergeCell ref="K38:K39"/>
    <mergeCell ref="K40:K42"/>
    <mergeCell ref="K13:K15"/>
    <mergeCell ref="K16:K18"/>
    <mergeCell ref="L34:L35"/>
    <mergeCell ref="K19:K20"/>
    <mergeCell ref="K43:K47"/>
    <mergeCell ref="K48:K49"/>
    <mergeCell ref="K50:K52"/>
    <mergeCell ref="L19:L20"/>
    <mergeCell ref="I50:I52"/>
    <mergeCell ref="J3:J4"/>
    <mergeCell ref="J5:J6"/>
    <mergeCell ref="J7:J9"/>
    <mergeCell ref="J10:J12"/>
    <mergeCell ref="J13:J15"/>
    <mergeCell ref="J16:J18"/>
    <mergeCell ref="J19:J20"/>
    <mergeCell ref="J21:J24"/>
    <mergeCell ref="J25:J26"/>
    <mergeCell ref="J28:J33"/>
    <mergeCell ref="J34:J35"/>
    <mergeCell ref="J36:J37"/>
    <mergeCell ref="J38:J39"/>
    <mergeCell ref="J40:J42"/>
    <mergeCell ref="J43:J47"/>
    <mergeCell ref="K5:K6"/>
    <mergeCell ref="K7:K9"/>
    <mergeCell ref="K10:K12"/>
    <mergeCell ref="J48:J49"/>
    <mergeCell ref="J50:J52"/>
    <mergeCell ref="H43:H47"/>
    <mergeCell ref="H48:H49"/>
    <mergeCell ref="H50:H52"/>
    <mergeCell ref="I3:I4"/>
    <mergeCell ref="I5:I6"/>
    <mergeCell ref="I7:I9"/>
    <mergeCell ref="I10:I12"/>
    <mergeCell ref="I13:I15"/>
    <mergeCell ref="I16:I18"/>
    <mergeCell ref="I19:I20"/>
    <mergeCell ref="I21:I24"/>
    <mergeCell ref="I25:I26"/>
    <mergeCell ref="I28:I33"/>
    <mergeCell ref="I34:I35"/>
    <mergeCell ref="I36:I37"/>
    <mergeCell ref="I38:I39"/>
    <mergeCell ref="I40:I42"/>
    <mergeCell ref="H5:H6"/>
    <mergeCell ref="H7:H9"/>
    <mergeCell ref="H10:H12"/>
    <mergeCell ref="H13:H15"/>
    <mergeCell ref="H16:H18"/>
    <mergeCell ref="H19:H20"/>
    <mergeCell ref="I43:I47"/>
    <mergeCell ref="I48:I49"/>
    <mergeCell ref="H21:H24"/>
    <mergeCell ref="H25:H26"/>
    <mergeCell ref="H28:H33"/>
    <mergeCell ref="H34:H35"/>
    <mergeCell ref="H36:H37"/>
    <mergeCell ref="H38:H39"/>
    <mergeCell ref="H40:H42"/>
    <mergeCell ref="F34:F35"/>
    <mergeCell ref="F36:F37"/>
    <mergeCell ref="F38:F39"/>
    <mergeCell ref="F40:F42"/>
    <mergeCell ref="F43:F47"/>
    <mergeCell ref="F48:F49"/>
    <mergeCell ref="F50:F52"/>
    <mergeCell ref="G3:G4"/>
    <mergeCell ref="G5:G6"/>
    <mergeCell ref="G7:G9"/>
    <mergeCell ref="G10:G12"/>
    <mergeCell ref="G13:G15"/>
    <mergeCell ref="G16:G18"/>
    <mergeCell ref="G19:G20"/>
    <mergeCell ref="G21:G24"/>
    <mergeCell ref="G25:G26"/>
    <mergeCell ref="G28:G33"/>
    <mergeCell ref="G34:G35"/>
    <mergeCell ref="G36:G37"/>
    <mergeCell ref="G38:G39"/>
    <mergeCell ref="G40:G42"/>
    <mergeCell ref="G43:G47"/>
    <mergeCell ref="G48:G49"/>
    <mergeCell ref="G50:G52"/>
    <mergeCell ref="F5:F6"/>
    <mergeCell ref="F7:F9"/>
    <mergeCell ref="F10:F12"/>
    <mergeCell ref="F13:F15"/>
    <mergeCell ref="F16:F18"/>
    <mergeCell ref="F19:F20"/>
    <mergeCell ref="F21:F24"/>
    <mergeCell ref="F25:F26"/>
    <mergeCell ref="F28:F33"/>
    <mergeCell ref="D50:D52"/>
    <mergeCell ref="E5:E6"/>
    <mergeCell ref="E7:E9"/>
    <mergeCell ref="E10:E12"/>
    <mergeCell ref="E13:E15"/>
    <mergeCell ref="E16:E18"/>
    <mergeCell ref="E19:E20"/>
    <mergeCell ref="E21:E24"/>
    <mergeCell ref="E25:E26"/>
    <mergeCell ref="E28:E33"/>
    <mergeCell ref="E34:E35"/>
    <mergeCell ref="E36:E37"/>
    <mergeCell ref="E38:E39"/>
    <mergeCell ref="E40:E42"/>
    <mergeCell ref="E43:E47"/>
    <mergeCell ref="E48:E49"/>
    <mergeCell ref="E50:E52"/>
    <mergeCell ref="D7:D9"/>
    <mergeCell ref="D13:D15"/>
    <mergeCell ref="B50:B52"/>
    <mergeCell ref="C28:C33"/>
    <mergeCell ref="C34:C35"/>
    <mergeCell ref="C36:C37"/>
    <mergeCell ref="C38:C39"/>
    <mergeCell ref="C40:C42"/>
    <mergeCell ref="C43:C47"/>
    <mergeCell ref="C48:C49"/>
    <mergeCell ref="C50:C52"/>
    <mergeCell ref="B28:B33"/>
    <mergeCell ref="B34:B35"/>
    <mergeCell ref="B36:B37"/>
    <mergeCell ref="B38:B39"/>
    <mergeCell ref="C25:C26"/>
    <mergeCell ref="D16:D18"/>
    <mergeCell ref="D19:D20"/>
    <mergeCell ref="D21:D22"/>
    <mergeCell ref="D23:D24"/>
    <mergeCell ref="D25:D26"/>
    <mergeCell ref="D28:D30"/>
    <mergeCell ref="D31:D33"/>
    <mergeCell ref="B48:B49"/>
    <mergeCell ref="B19:B20"/>
    <mergeCell ref="B21:B24"/>
    <mergeCell ref="B25:B26"/>
    <mergeCell ref="D34:D35"/>
    <mergeCell ref="D36:D37"/>
    <mergeCell ref="D38:D39"/>
    <mergeCell ref="D40:D42"/>
    <mergeCell ref="D48:D49"/>
    <mergeCell ref="B10:B12"/>
    <mergeCell ref="C3:C4"/>
    <mergeCell ref="C5:C6"/>
    <mergeCell ref="C7:C9"/>
    <mergeCell ref="C10:C12"/>
    <mergeCell ref="C13:C15"/>
    <mergeCell ref="C16:C18"/>
    <mergeCell ref="C19:C20"/>
    <mergeCell ref="C21:C24"/>
    <mergeCell ref="F3:F4"/>
    <mergeCell ref="B40:B42"/>
    <mergeCell ref="B43:B47"/>
    <mergeCell ref="A53:K53"/>
    <mergeCell ref="A54:K54"/>
    <mergeCell ref="A2:A4"/>
    <mergeCell ref="A5:A6"/>
    <mergeCell ref="A7:A9"/>
    <mergeCell ref="A10:A12"/>
    <mergeCell ref="A13:A15"/>
    <mergeCell ref="A16:A18"/>
    <mergeCell ref="A19:A20"/>
    <mergeCell ref="A21:A24"/>
    <mergeCell ref="A25:A26"/>
    <mergeCell ref="A28:A33"/>
    <mergeCell ref="A34:A35"/>
    <mergeCell ref="A36:A37"/>
    <mergeCell ref="A38:A39"/>
    <mergeCell ref="A40:A42"/>
    <mergeCell ref="A43:A47"/>
    <mergeCell ref="A48:A49"/>
    <mergeCell ref="A50:A52"/>
    <mergeCell ref="B5:B6"/>
    <mergeCell ref="B7:B9"/>
    <mergeCell ref="L3:L4"/>
    <mergeCell ref="B13:B15"/>
    <mergeCell ref="B16:B18"/>
    <mergeCell ref="A1:AJ1"/>
    <mergeCell ref="B2:F2"/>
    <mergeCell ref="G2:K2"/>
    <mergeCell ref="L2:N2"/>
    <mergeCell ref="O2:Q2"/>
    <mergeCell ref="R2:Y2"/>
    <mergeCell ref="Z2:AI2"/>
    <mergeCell ref="R3:U3"/>
    <mergeCell ref="W3:Y3"/>
    <mergeCell ref="AA3:AC3"/>
    <mergeCell ref="AD3:AH3"/>
    <mergeCell ref="B3:B4"/>
    <mergeCell ref="E3:E4"/>
    <mergeCell ref="H3:H4"/>
    <mergeCell ref="K3:K4"/>
    <mergeCell ref="M3:M4"/>
    <mergeCell ref="O3:O4"/>
    <mergeCell ref="Q3:Q4"/>
    <mergeCell ref="V3:V4"/>
    <mergeCell ref="AJ2:AJ4"/>
    <mergeCell ref="D3:D4"/>
  </mergeCells>
  <phoneticPr fontId="37" type="noConversion"/>
  <conditionalFormatting sqref="R5:R19 R21:R43 R48:R52">
    <cfRule type="cellIs" dxfId="23" priority="1" operator="between">
      <formula>1000000</formula>
      <formula>2000000</formula>
    </cfRule>
    <cfRule type="cellIs" dxfId="22" priority="2" operator="greaterThan">
      <formula>2000000</formula>
    </cfRule>
  </conditionalFormatting>
  <conditionalFormatting sqref="Y5:Y19 Y21:Y52">
    <cfRule type="cellIs" dxfId="21" priority="5" operator="greaterThan">
      <formula>0</formula>
    </cfRule>
  </conditionalFormatting>
  <printOptions horizontalCentered="1"/>
  <pageMargins left="0.43307086614173201" right="0.39370078740157499" top="0.39370078740157499" bottom="0.39370078740157499" header="0.196850393700787" footer="0.23622047244094499"/>
  <pageSetup paperSize="9" scale="55" fitToWidth="0" fitToHeight="0" orientation="portrait" r:id="rId1"/>
  <headerFooter alignWithMargins="0"/>
  <ignoredErrors>
    <ignoredError sqref="I38" numberStoredAsText="1"/>
  </ignoredError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64"/>
  <sheetViews>
    <sheetView zoomScale="85" zoomScaleNormal="85" workbookViewId="0">
      <pane xSplit="2" ySplit="4" topLeftCell="P5" activePane="bottomRight" state="frozen"/>
      <selection pane="topRight" activeCell="C1" sqref="C1"/>
      <selection pane="bottomLeft" activeCell="A5" sqref="A5"/>
      <selection pane="bottomRight" activeCell="R8" sqref="R8:R10"/>
    </sheetView>
  </sheetViews>
  <sheetFormatPr defaultColWidth="9.140625" defaultRowHeight="24.95" customHeight="1" x14ac:dyDescent="0.2"/>
  <cols>
    <col min="1" max="1" width="3.7109375" style="1" customWidth="1"/>
    <col min="2" max="2" width="50.7109375" style="298" customWidth="1"/>
    <col min="3" max="3" width="8.28515625" style="298" customWidth="1"/>
    <col min="4" max="4" width="25.7109375" style="298" customWidth="1"/>
    <col min="5" max="5" width="10.7109375" style="3" customWidth="1"/>
    <col min="6" max="7" width="15.7109375" style="3" customWidth="1"/>
    <col min="8" max="8" width="8.28515625" style="3" customWidth="1"/>
    <col min="9" max="9" width="10.7109375" style="4" customWidth="1"/>
    <col min="10" max="11" width="8.28515625" style="4" customWidth="1"/>
    <col min="12" max="21" width="15.7109375" style="5" customWidth="1"/>
    <col min="22" max="22" width="15.7109375" style="153" customWidth="1"/>
    <col min="23" max="24" width="15.7109375" style="5" customWidth="1"/>
    <col min="25" max="25" width="15.7109375" style="160" customWidth="1"/>
    <col min="26" max="29" width="15.7109375" style="5" customWidth="1"/>
    <col min="30" max="31" width="10.7109375" style="8" customWidth="1"/>
    <col min="32" max="32" width="15.7109375" style="181" customWidth="1"/>
    <col min="33" max="33" width="15.7109375" style="157" customWidth="1"/>
    <col min="34" max="34" width="20.7109375" style="3" customWidth="1"/>
    <col min="35" max="36" width="10.7109375" style="252" customWidth="1"/>
    <col min="37" max="37" width="12.85546875" style="1" customWidth="1"/>
    <col min="38" max="16384" width="9.140625" style="1"/>
  </cols>
  <sheetData>
    <row r="1" spans="1:35" ht="30" customHeight="1" x14ac:dyDescent="0.2">
      <c r="A1" s="585" t="s">
        <v>1079</v>
      </c>
      <c r="B1" s="586"/>
      <c r="C1" s="586"/>
      <c r="D1" s="586"/>
      <c r="E1" s="586"/>
      <c r="F1" s="586"/>
      <c r="G1" s="586"/>
      <c r="H1" s="586"/>
      <c r="I1" s="586"/>
      <c r="J1" s="586"/>
      <c r="K1" s="586"/>
      <c r="L1" s="586"/>
      <c r="M1" s="586"/>
      <c r="N1" s="586"/>
      <c r="O1" s="586"/>
      <c r="P1" s="586"/>
      <c r="Q1" s="586"/>
      <c r="R1" s="586"/>
      <c r="S1" s="586"/>
      <c r="T1" s="586"/>
      <c r="U1" s="586"/>
      <c r="V1" s="586"/>
      <c r="W1" s="586"/>
      <c r="X1" s="586"/>
      <c r="Y1" s="586"/>
      <c r="Z1" s="586"/>
      <c r="AA1" s="586"/>
      <c r="AB1" s="586"/>
      <c r="AC1" s="586"/>
      <c r="AD1" s="586"/>
      <c r="AE1" s="586"/>
      <c r="AF1" s="586"/>
      <c r="AG1" s="586"/>
      <c r="AH1" s="586"/>
    </row>
    <row r="2" spans="1:35" ht="24.95" customHeight="1" x14ac:dyDescent="0.2">
      <c r="A2" s="530" t="s">
        <v>1</v>
      </c>
      <c r="B2" s="446" t="s">
        <v>2</v>
      </c>
      <c r="C2" s="446"/>
      <c r="D2" s="446"/>
      <c r="E2" s="446"/>
      <c r="F2" s="446"/>
      <c r="G2" s="587" t="s">
        <v>210</v>
      </c>
      <c r="H2" s="588"/>
      <c r="I2" s="588"/>
      <c r="J2" s="588"/>
      <c r="K2" s="589"/>
      <c r="L2" s="405" t="s">
        <v>652</v>
      </c>
      <c r="M2" s="405"/>
      <c r="N2" s="405"/>
      <c r="O2" s="405" t="s">
        <v>4</v>
      </c>
      <c r="P2" s="405"/>
      <c r="Q2" s="405"/>
      <c r="R2" s="590" t="s">
        <v>3</v>
      </c>
      <c r="S2" s="590"/>
      <c r="T2" s="590"/>
      <c r="U2" s="590"/>
      <c r="V2" s="590"/>
      <c r="W2" s="590"/>
      <c r="X2" s="591"/>
      <c r="Y2" s="592" t="s">
        <v>212</v>
      </c>
      <c r="Z2" s="593"/>
      <c r="AA2" s="593"/>
      <c r="AB2" s="593"/>
      <c r="AC2" s="593"/>
      <c r="AD2" s="593"/>
      <c r="AE2" s="593"/>
      <c r="AF2" s="593"/>
      <c r="AG2" s="594"/>
      <c r="AH2" s="606" t="s">
        <v>8</v>
      </c>
      <c r="AI2" s="545"/>
    </row>
    <row r="3" spans="1:35" ht="24.95" customHeight="1" x14ac:dyDescent="0.2">
      <c r="A3" s="456"/>
      <c r="B3" s="532" t="s">
        <v>9</v>
      </c>
      <c r="C3" s="532" t="s">
        <v>213</v>
      </c>
      <c r="D3" s="532" t="s">
        <v>10</v>
      </c>
      <c r="E3" s="427" t="s">
        <v>214</v>
      </c>
      <c r="F3" s="427" t="s">
        <v>11</v>
      </c>
      <c r="G3" s="427" t="s">
        <v>12</v>
      </c>
      <c r="H3" s="427" t="s">
        <v>13</v>
      </c>
      <c r="I3" s="429" t="s">
        <v>14</v>
      </c>
      <c r="J3" s="466" t="s">
        <v>15</v>
      </c>
      <c r="K3" s="466" t="s">
        <v>16</v>
      </c>
      <c r="L3" s="407" t="s">
        <v>17</v>
      </c>
      <c r="M3" s="407" t="s">
        <v>18</v>
      </c>
      <c r="N3" s="407" t="s">
        <v>215</v>
      </c>
      <c r="O3" s="407" t="s">
        <v>17</v>
      </c>
      <c r="P3" s="407" t="s">
        <v>18</v>
      </c>
      <c r="Q3" s="407" t="s">
        <v>215</v>
      </c>
      <c r="R3" s="595" t="s">
        <v>216</v>
      </c>
      <c r="S3" s="595"/>
      <c r="T3" s="595"/>
      <c r="U3" s="595"/>
      <c r="V3" s="738" t="s">
        <v>5</v>
      </c>
      <c r="W3" s="739"/>
      <c r="X3" s="740"/>
      <c r="Y3" s="741" t="s">
        <v>217</v>
      </c>
      <c r="Z3" s="742"/>
      <c r="AA3" s="743"/>
      <c r="AB3" s="600" t="s">
        <v>6</v>
      </c>
      <c r="AC3" s="598"/>
      <c r="AD3" s="598"/>
      <c r="AE3" s="598"/>
      <c r="AF3" s="598"/>
      <c r="AG3" s="604" t="s">
        <v>7</v>
      </c>
      <c r="AH3" s="607"/>
      <c r="AI3" s="545"/>
    </row>
    <row r="4" spans="1:35" ht="24.95" customHeight="1" x14ac:dyDescent="0.2">
      <c r="A4" s="457"/>
      <c r="B4" s="601"/>
      <c r="C4" s="601"/>
      <c r="D4" s="601"/>
      <c r="E4" s="428"/>
      <c r="F4" s="428"/>
      <c r="G4" s="428"/>
      <c r="H4" s="428"/>
      <c r="I4" s="430"/>
      <c r="J4" s="467"/>
      <c r="K4" s="467"/>
      <c r="L4" s="408"/>
      <c r="M4" s="699"/>
      <c r="N4" s="699"/>
      <c r="O4" s="699"/>
      <c r="P4" s="699"/>
      <c r="Q4" s="699"/>
      <c r="R4" s="27" t="s">
        <v>17</v>
      </c>
      <c r="S4" s="27" t="s">
        <v>18</v>
      </c>
      <c r="T4" s="27" t="s">
        <v>215</v>
      </c>
      <c r="U4" s="27" t="s">
        <v>218</v>
      </c>
      <c r="V4" s="148" t="s">
        <v>219</v>
      </c>
      <c r="W4" s="27" t="s">
        <v>19</v>
      </c>
      <c r="X4" s="27" t="s">
        <v>20</v>
      </c>
      <c r="Y4" s="149" t="s">
        <v>220</v>
      </c>
      <c r="Z4" s="33" t="s">
        <v>221</v>
      </c>
      <c r="AA4" s="33" t="s">
        <v>20</v>
      </c>
      <c r="AB4" s="33" t="s">
        <v>24</v>
      </c>
      <c r="AC4" s="33" t="s">
        <v>25</v>
      </c>
      <c r="AD4" s="34" t="s">
        <v>21</v>
      </c>
      <c r="AE4" s="34" t="s">
        <v>22</v>
      </c>
      <c r="AF4" s="33" t="s">
        <v>23</v>
      </c>
      <c r="AG4" s="723"/>
      <c r="AH4" s="608"/>
      <c r="AI4" s="545"/>
    </row>
    <row r="5" spans="1:35" ht="24.95" customHeight="1" x14ac:dyDescent="0.2">
      <c r="A5" s="746">
        <v>1</v>
      </c>
      <c r="B5" s="747" t="s">
        <v>598</v>
      </c>
      <c r="C5" s="749" t="s">
        <v>226</v>
      </c>
      <c r="D5" s="747" t="s">
        <v>599</v>
      </c>
      <c r="E5" s="753" t="s">
        <v>222</v>
      </c>
      <c r="F5" s="754" t="s">
        <v>227</v>
      </c>
      <c r="G5" s="754" t="s">
        <v>228</v>
      </c>
      <c r="H5" s="753" t="s">
        <v>229</v>
      </c>
      <c r="I5" s="712" t="s">
        <v>230</v>
      </c>
      <c r="J5" s="712" t="s">
        <v>33</v>
      </c>
      <c r="K5" s="712" t="s">
        <v>231</v>
      </c>
      <c r="L5" s="757">
        <v>169969</v>
      </c>
      <c r="M5" s="759"/>
      <c r="N5" s="759"/>
      <c r="O5" s="760">
        <f>L5</f>
        <v>169969</v>
      </c>
      <c r="P5" s="759"/>
      <c r="Q5" s="759"/>
      <c r="R5" s="718">
        <f>O5</f>
        <v>169969</v>
      </c>
      <c r="S5" s="759"/>
      <c r="T5" s="759"/>
      <c r="U5" s="718">
        <f>SUM(R5:T7)</f>
        <v>169969</v>
      </c>
      <c r="V5" s="719">
        <f>U5</f>
        <v>169969</v>
      </c>
      <c r="W5" s="28">
        <v>144474</v>
      </c>
      <c r="X5" s="718">
        <f>V5-W5-W6-W7</f>
        <v>0</v>
      </c>
      <c r="Y5" s="721">
        <f>V5*0.8</f>
        <v>135975.20000000001</v>
      </c>
      <c r="Z5" s="28">
        <f>W5*0.8</f>
        <v>115579.20000000001</v>
      </c>
      <c r="AA5" s="718">
        <f>Y5-Z5-Z6-Z7</f>
        <v>0</v>
      </c>
      <c r="AB5" s="718"/>
      <c r="AC5" s="718"/>
      <c r="AD5" s="35" t="s">
        <v>590</v>
      </c>
      <c r="AE5" s="35" t="s">
        <v>591</v>
      </c>
      <c r="AF5" s="178">
        <f>0.2*2500</f>
        <v>500</v>
      </c>
      <c r="AG5" s="724">
        <f>Y5-AB5-AC5-AF5-AF6-AF7</f>
        <v>135475.20000000001</v>
      </c>
      <c r="AH5" s="683"/>
    </row>
    <row r="6" spans="1:35" ht="24.95" customHeight="1" x14ac:dyDescent="0.2">
      <c r="A6" s="493"/>
      <c r="B6" s="495"/>
      <c r="C6" s="615"/>
      <c r="D6" s="495"/>
      <c r="E6" s="410"/>
      <c r="F6" s="411"/>
      <c r="G6" s="411"/>
      <c r="H6" s="410"/>
      <c r="I6" s="412"/>
      <c r="J6" s="412"/>
      <c r="K6" s="412"/>
      <c r="L6" s="732"/>
      <c r="M6" s="736"/>
      <c r="N6" s="736"/>
      <c r="O6" s="560"/>
      <c r="P6" s="736"/>
      <c r="Q6" s="736"/>
      <c r="R6" s="518"/>
      <c r="S6" s="736"/>
      <c r="T6" s="736"/>
      <c r="U6" s="518"/>
      <c r="V6" s="383"/>
      <c r="W6" s="29">
        <v>25495</v>
      </c>
      <c r="X6" s="518"/>
      <c r="Y6" s="722"/>
      <c r="Z6" s="29">
        <f>W6*0.8</f>
        <v>20396</v>
      </c>
      <c r="AA6" s="518"/>
      <c r="AB6" s="518"/>
      <c r="AC6" s="518"/>
      <c r="AD6" s="37"/>
      <c r="AE6" s="37"/>
      <c r="AF6" s="182"/>
      <c r="AG6" s="671"/>
      <c r="AH6" s="684"/>
    </row>
    <row r="7" spans="1:35" ht="24.95" customHeight="1" x14ac:dyDescent="0.2">
      <c r="A7" s="493"/>
      <c r="B7" s="495"/>
      <c r="C7" s="615"/>
      <c r="D7" s="495"/>
      <c r="E7" s="410"/>
      <c r="F7" s="411"/>
      <c r="G7" s="362"/>
      <c r="H7" s="620"/>
      <c r="I7" s="469"/>
      <c r="J7" s="412"/>
      <c r="K7" s="412"/>
      <c r="L7" s="732"/>
      <c r="M7" s="561"/>
      <c r="N7" s="561"/>
      <c r="O7" s="560"/>
      <c r="P7" s="561"/>
      <c r="Q7" s="561"/>
      <c r="R7" s="518"/>
      <c r="S7" s="736"/>
      <c r="T7" s="736"/>
      <c r="U7" s="518"/>
      <c r="V7" s="383"/>
      <c r="W7" s="29">
        <v>0</v>
      </c>
      <c r="X7" s="518"/>
      <c r="Y7" s="722"/>
      <c r="Z7" s="29"/>
      <c r="AA7" s="518"/>
      <c r="AB7" s="518"/>
      <c r="AC7" s="518"/>
      <c r="AD7" s="37"/>
      <c r="AE7" s="37"/>
      <c r="AF7" s="182"/>
      <c r="AG7" s="671"/>
      <c r="AH7" s="684"/>
    </row>
    <row r="8" spans="1:35" ht="24.95" customHeight="1" x14ac:dyDescent="0.2">
      <c r="A8" s="493">
        <v>2</v>
      </c>
      <c r="B8" s="495" t="s">
        <v>887</v>
      </c>
      <c r="C8" s="615" t="s">
        <v>232</v>
      </c>
      <c r="D8" s="520" t="s">
        <v>555</v>
      </c>
      <c r="E8" s="410" t="s">
        <v>222</v>
      </c>
      <c r="F8" s="411" t="s">
        <v>233</v>
      </c>
      <c r="G8" s="411" t="s">
        <v>228</v>
      </c>
      <c r="H8" s="410" t="s">
        <v>229</v>
      </c>
      <c r="I8" s="412" t="s">
        <v>230</v>
      </c>
      <c r="J8" s="412" t="s">
        <v>33</v>
      </c>
      <c r="K8" s="412" t="s">
        <v>33</v>
      </c>
      <c r="L8" s="714">
        <v>147220</v>
      </c>
      <c r="M8" s="736"/>
      <c r="N8" s="736"/>
      <c r="O8" s="733">
        <v>129380</v>
      </c>
      <c r="P8" s="736"/>
      <c r="Q8" s="736"/>
      <c r="R8" s="654">
        <f>O8</f>
        <v>129380</v>
      </c>
      <c r="S8" s="736"/>
      <c r="T8" s="736"/>
      <c r="U8" s="654">
        <f t="shared" ref="U8" si="0">SUM(R8:T10)</f>
        <v>129380</v>
      </c>
      <c r="V8" s="371">
        <f>U8</f>
        <v>129380</v>
      </c>
      <c r="W8" s="61">
        <v>103504</v>
      </c>
      <c r="X8" s="654">
        <f>V8-W8-W9-W10</f>
        <v>0</v>
      </c>
      <c r="Y8" s="663">
        <f>V8*0.8</f>
        <v>103504</v>
      </c>
      <c r="Z8" s="61">
        <f>W8*0.8</f>
        <v>82803.200000000012</v>
      </c>
      <c r="AA8" s="654">
        <f>Y8-Z8-Z9-Z10</f>
        <v>20700.799999999988</v>
      </c>
      <c r="AB8" s="654"/>
      <c r="AC8" s="654"/>
      <c r="AD8" s="37"/>
      <c r="AE8" s="37"/>
      <c r="AF8" s="182"/>
      <c r="AG8" s="730">
        <f t="shared" ref="AG8" si="1">Y8-AB8-AC8-AF8-AF9-AF10</f>
        <v>103504</v>
      </c>
      <c r="AH8" s="684"/>
    </row>
    <row r="9" spans="1:35" ht="24.95" customHeight="1" x14ac:dyDescent="0.2">
      <c r="A9" s="493"/>
      <c r="B9" s="495"/>
      <c r="C9" s="615"/>
      <c r="D9" s="521"/>
      <c r="E9" s="410"/>
      <c r="F9" s="411"/>
      <c r="G9" s="411"/>
      <c r="H9" s="410"/>
      <c r="I9" s="412"/>
      <c r="J9" s="412"/>
      <c r="K9" s="412"/>
      <c r="L9" s="758"/>
      <c r="M9" s="736"/>
      <c r="N9" s="736"/>
      <c r="O9" s="734"/>
      <c r="P9" s="736"/>
      <c r="Q9" s="736"/>
      <c r="R9" s="656"/>
      <c r="S9" s="736"/>
      <c r="T9" s="736"/>
      <c r="U9" s="656"/>
      <c r="V9" s="372"/>
      <c r="W9" s="61">
        <v>25876</v>
      </c>
      <c r="X9" s="656"/>
      <c r="Y9" s="664"/>
      <c r="Z9" s="61"/>
      <c r="AA9" s="656"/>
      <c r="AB9" s="656"/>
      <c r="AC9" s="656"/>
      <c r="AD9" s="37"/>
      <c r="AE9" s="37"/>
      <c r="AF9" s="182"/>
      <c r="AG9" s="731"/>
      <c r="AH9" s="684"/>
    </row>
    <row r="10" spans="1:35" ht="24.95" customHeight="1" x14ac:dyDescent="0.2">
      <c r="A10" s="493"/>
      <c r="B10" s="495"/>
      <c r="C10" s="615"/>
      <c r="D10" s="522"/>
      <c r="E10" s="410"/>
      <c r="F10" s="411"/>
      <c r="G10" s="411"/>
      <c r="H10" s="410"/>
      <c r="I10" s="412"/>
      <c r="J10" s="412"/>
      <c r="K10" s="412"/>
      <c r="L10" s="715"/>
      <c r="M10" s="736"/>
      <c r="N10" s="736"/>
      <c r="O10" s="735"/>
      <c r="P10" s="736"/>
      <c r="Q10" s="736"/>
      <c r="R10" s="655"/>
      <c r="S10" s="736"/>
      <c r="T10" s="736"/>
      <c r="U10" s="655"/>
      <c r="V10" s="373"/>
      <c r="W10" s="29">
        <v>0</v>
      </c>
      <c r="X10" s="655"/>
      <c r="Y10" s="665"/>
      <c r="Z10" s="29"/>
      <c r="AA10" s="655"/>
      <c r="AB10" s="655"/>
      <c r="AC10" s="655"/>
      <c r="AD10" s="36"/>
      <c r="AE10" s="36"/>
      <c r="AF10" s="179"/>
      <c r="AG10" s="762"/>
      <c r="AH10" s="684"/>
    </row>
    <row r="11" spans="1:35" ht="24.95" customHeight="1" x14ac:dyDescent="0.2">
      <c r="A11" s="493">
        <v>3</v>
      </c>
      <c r="B11" s="748" t="s">
        <v>234</v>
      </c>
      <c r="C11" s="615">
        <v>2020.2</v>
      </c>
      <c r="D11" s="495" t="s">
        <v>235</v>
      </c>
      <c r="E11" s="410" t="s">
        <v>222</v>
      </c>
      <c r="F11" s="411" t="s">
        <v>236</v>
      </c>
      <c r="G11" s="411" t="s">
        <v>237</v>
      </c>
      <c r="H11" s="410" t="s">
        <v>238</v>
      </c>
      <c r="I11" s="412" t="s">
        <v>239</v>
      </c>
      <c r="J11" s="412" t="s">
        <v>33</v>
      </c>
      <c r="K11" s="412" t="s">
        <v>33</v>
      </c>
      <c r="L11" s="732"/>
      <c r="M11" s="560"/>
      <c r="N11" s="560"/>
      <c r="O11" s="560"/>
      <c r="P11" s="560"/>
      <c r="Q11" s="560"/>
      <c r="R11" s="518">
        <v>0</v>
      </c>
      <c r="S11" s="518"/>
      <c r="T11" s="518"/>
      <c r="U11" s="518">
        <f t="shared" ref="U11" si="2">SUM(R11:T13)</f>
        <v>0</v>
      </c>
      <c r="V11" s="383">
        <f>U11</f>
        <v>0</v>
      </c>
      <c r="W11" s="29">
        <v>0</v>
      </c>
      <c r="X11" s="518">
        <f>V11-W11-W12-W13</f>
        <v>0</v>
      </c>
      <c r="Y11" s="722">
        <f>V11*0.8</f>
        <v>0</v>
      </c>
      <c r="Z11" s="29"/>
      <c r="AA11" s="518">
        <f>Y11-Z11-Z12-Z13</f>
        <v>0</v>
      </c>
      <c r="AB11" s="518"/>
      <c r="AC11" s="518"/>
      <c r="AD11" s="36"/>
      <c r="AE11" s="36"/>
      <c r="AF11" s="179"/>
      <c r="AG11" s="671">
        <f t="shared" ref="AG11" si="3">Y11-AB11-AC11-AF11-AF12-AF13</f>
        <v>0</v>
      </c>
      <c r="AH11" s="684"/>
    </row>
    <row r="12" spans="1:35" ht="24.95" customHeight="1" x14ac:dyDescent="0.2">
      <c r="A12" s="493"/>
      <c r="B12" s="748"/>
      <c r="C12" s="615"/>
      <c r="D12" s="495"/>
      <c r="E12" s="410"/>
      <c r="F12" s="411"/>
      <c r="G12" s="411"/>
      <c r="H12" s="410"/>
      <c r="I12" s="412"/>
      <c r="J12" s="412"/>
      <c r="K12" s="412"/>
      <c r="L12" s="732"/>
      <c r="M12" s="560"/>
      <c r="N12" s="560"/>
      <c r="O12" s="560"/>
      <c r="P12" s="560"/>
      <c r="Q12" s="560"/>
      <c r="R12" s="518"/>
      <c r="S12" s="518"/>
      <c r="T12" s="518"/>
      <c r="U12" s="518"/>
      <c r="V12" s="383"/>
      <c r="W12" s="29">
        <v>0</v>
      </c>
      <c r="X12" s="518"/>
      <c r="Y12" s="722"/>
      <c r="Z12" s="29"/>
      <c r="AA12" s="518"/>
      <c r="AB12" s="518"/>
      <c r="AC12" s="518"/>
      <c r="AD12" s="36"/>
      <c r="AE12" s="36"/>
      <c r="AF12" s="179"/>
      <c r="AG12" s="671"/>
      <c r="AH12" s="684"/>
    </row>
    <row r="13" spans="1:35" ht="24.95" customHeight="1" x14ac:dyDescent="0.2">
      <c r="A13" s="493"/>
      <c r="B13" s="748"/>
      <c r="C13" s="615"/>
      <c r="D13" s="495"/>
      <c r="E13" s="410"/>
      <c r="F13" s="411"/>
      <c r="G13" s="411"/>
      <c r="H13" s="410"/>
      <c r="I13" s="412"/>
      <c r="J13" s="412"/>
      <c r="K13" s="412"/>
      <c r="L13" s="732"/>
      <c r="M13" s="560"/>
      <c r="N13" s="560"/>
      <c r="O13" s="560"/>
      <c r="P13" s="560"/>
      <c r="Q13" s="560"/>
      <c r="R13" s="518"/>
      <c r="S13" s="518"/>
      <c r="T13" s="518"/>
      <c r="U13" s="518"/>
      <c r="V13" s="383"/>
      <c r="W13" s="29">
        <v>0</v>
      </c>
      <c r="X13" s="518"/>
      <c r="Y13" s="722"/>
      <c r="Z13" s="29"/>
      <c r="AA13" s="518"/>
      <c r="AB13" s="518"/>
      <c r="AC13" s="518"/>
      <c r="AD13" s="36"/>
      <c r="AE13" s="36"/>
      <c r="AF13" s="179"/>
      <c r="AG13" s="671"/>
      <c r="AH13" s="684"/>
    </row>
    <row r="14" spans="1:35" ht="24.95" customHeight="1" x14ac:dyDescent="0.2">
      <c r="A14" s="493">
        <v>4</v>
      </c>
      <c r="B14" s="495" t="s">
        <v>561</v>
      </c>
      <c r="C14" s="615" t="s">
        <v>240</v>
      </c>
      <c r="D14" s="520" t="s">
        <v>241</v>
      </c>
      <c r="E14" s="410" t="s">
        <v>222</v>
      </c>
      <c r="F14" s="411" t="s">
        <v>242</v>
      </c>
      <c r="G14" s="411" t="s">
        <v>243</v>
      </c>
      <c r="H14" s="410" t="s">
        <v>577</v>
      </c>
      <c r="I14" s="412" t="s">
        <v>578</v>
      </c>
      <c r="J14" s="412" t="s">
        <v>32</v>
      </c>
      <c r="K14" s="412" t="s">
        <v>32</v>
      </c>
      <c r="L14" s="557">
        <v>115594</v>
      </c>
      <c r="M14" s="557">
        <v>20399</v>
      </c>
      <c r="N14" s="557">
        <v>0</v>
      </c>
      <c r="O14" s="557">
        <f>134570*0.85</f>
        <v>114384.5</v>
      </c>
      <c r="P14" s="557">
        <f>134570*0.15</f>
        <v>20185.5</v>
      </c>
      <c r="Q14" s="557">
        <v>0</v>
      </c>
      <c r="R14" s="536">
        <f>O14</f>
        <v>114384.5</v>
      </c>
      <c r="S14" s="536">
        <f>P14</f>
        <v>20185.5</v>
      </c>
      <c r="T14" s="536">
        <f>Q14</f>
        <v>0</v>
      </c>
      <c r="U14" s="536">
        <f>SUM(R14:T15)</f>
        <v>134570</v>
      </c>
      <c r="V14" s="340">
        <f>U14</f>
        <v>134570</v>
      </c>
      <c r="W14" s="29">
        <v>123132</v>
      </c>
      <c r="X14" s="536">
        <f>V14-W14-W15</f>
        <v>0</v>
      </c>
      <c r="Y14" s="722">
        <f>V14*0.8</f>
        <v>107656</v>
      </c>
      <c r="Z14" s="29">
        <f>W14*0.8</f>
        <v>98505.600000000006</v>
      </c>
      <c r="AA14" s="536">
        <f>Y14-Z14-Z15</f>
        <v>0</v>
      </c>
      <c r="AB14" s="536"/>
      <c r="AC14" s="536"/>
      <c r="AD14" s="36" t="s">
        <v>590</v>
      </c>
      <c r="AE14" s="36" t="s">
        <v>591</v>
      </c>
      <c r="AF14" s="179">
        <f>2500*4.49</f>
        <v>11225</v>
      </c>
      <c r="AG14" s="672">
        <f>Y14-AB14-AC14-AF14-AF15</f>
        <v>94031</v>
      </c>
      <c r="AH14" s="687" t="s">
        <v>593</v>
      </c>
    </row>
    <row r="15" spans="1:35" ht="24.95" customHeight="1" x14ac:dyDescent="0.2">
      <c r="A15" s="493"/>
      <c r="B15" s="495"/>
      <c r="C15" s="615"/>
      <c r="D15" s="522"/>
      <c r="E15" s="410"/>
      <c r="F15" s="411"/>
      <c r="G15" s="411"/>
      <c r="H15" s="410"/>
      <c r="I15" s="412"/>
      <c r="J15" s="412"/>
      <c r="K15" s="412"/>
      <c r="L15" s="559"/>
      <c r="M15" s="559"/>
      <c r="N15" s="559"/>
      <c r="O15" s="559"/>
      <c r="P15" s="559"/>
      <c r="Q15" s="559"/>
      <c r="R15" s="538"/>
      <c r="S15" s="538"/>
      <c r="T15" s="538"/>
      <c r="U15" s="538"/>
      <c r="V15" s="341"/>
      <c r="W15" s="29">
        <v>11438</v>
      </c>
      <c r="X15" s="538"/>
      <c r="Y15" s="722"/>
      <c r="Z15" s="29">
        <f t="shared" ref="Z15:Z18" si="4">W15*0.8</f>
        <v>9150.4</v>
      </c>
      <c r="AA15" s="538"/>
      <c r="AB15" s="538"/>
      <c r="AC15" s="538"/>
      <c r="AD15" s="36" t="s">
        <v>590</v>
      </c>
      <c r="AE15" s="36" t="s">
        <v>592</v>
      </c>
      <c r="AF15" s="179">
        <f>16*150</f>
        <v>2400</v>
      </c>
      <c r="AG15" s="674"/>
      <c r="AH15" s="688"/>
    </row>
    <row r="16" spans="1:35" ht="24.95" customHeight="1" x14ac:dyDescent="0.2">
      <c r="A16" s="493"/>
      <c r="B16" s="495"/>
      <c r="C16" s="615"/>
      <c r="D16" s="520" t="s">
        <v>246</v>
      </c>
      <c r="E16" s="410"/>
      <c r="F16" s="411"/>
      <c r="G16" s="411"/>
      <c r="H16" s="410"/>
      <c r="I16" s="412"/>
      <c r="J16" s="412"/>
      <c r="K16" s="412"/>
      <c r="L16" s="561"/>
      <c r="M16" s="561"/>
      <c r="N16" s="561"/>
      <c r="O16" s="557">
        <v>111425</v>
      </c>
      <c r="P16" s="557">
        <v>0</v>
      </c>
      <c r="Q16" s="557">
        <v>0</v>
      </c>
      <c r="R16" s="536">
        <f>O16</f>
        <v>111425</v>
      </c>
      <c r="S16" s="536">
        <f>P16</f>
        <v>0</v>
      </c>
      <c r="T16" s="536">
        <f>Q16</f>
        <v>0</v>
      </c>
      <c r="U16" s="536">
        <f>SUM(R16:T17)</f>
        <v>111425</v>
      </c>
      <c r="V16" s="340">
        <f>U16</f>
        <v>111425</v>
      </c>
      <c r="W16" s="29">
        <v>101954</v>
      </c>
      <c r="X16" s="536">
        <f>V16-W16-W17</f>
        <v>0</v>
      </c>
      <c r="Y16" s="722">
        <f>V16*0.8</f>
        <v>89140</v>
      </c>
      <c r="Z16" s="29">
        <f t="shared" si="4"/>
        <v>81563.200000000012</v>
      </c>
      <c r="AA16" s="536">
        <f>Y16-Z16-Z17</f>
        <v>-1.1823431123048067E-11</v>
      </c>
      <c r="AB16" s="581"/>
      <c r="AC16" s="581"/>
      <c r="AD16" s="36" t="s">
        <v>247</v>
      </c>
      <c r="AE16" s="36" t="s">
        <v>223</v>
      </c>
      <c r="AF16" s="179">
        <f>V16*0.75</f>
        <v>83568.75</v>
      </c>
      <c r="AG16" s="672">
        <f>Y16-AF16</f>
        <v>5571.25</v>
      </c>
      <c r="AH16" s="687" t="s">
        <v>248</v>
      </c>
    </row>
    <row r="17" spans="1:36" ht="24.95" customHeight="1" x14ac:dyDescent="0.2">
      <c r="A17" s="493"/>
      <c r="B17" s="495"/>
      <c r="C17" s="615"/>
      <c r="D17" s="522"/>
      <c r="E17" s="410"/>
      <c r="F17" s="411"/>
      <c r="G17" s="411"/>
      <c r="H17" s="410"/>
      <c r="I17" s="412"/>
      <c r="J17" s="412"/>
      <c r="K17" s="412"/>
      <c r="L17" s="563"/>
      <c r="M17" s="563"/>
      <c r="N17" s="563"/>
      <c r="O17" s="559"/>
      <c r="P17" s="559"/>
      <c r="Q17" s="559"/>
      <c r="R17" s="538"/>
      <c r="S17" s="538"/>
      <c r="T17" s="538"/>
      <c r="U17" s="538"/>
      <c r="V17" s="341"/>
      <c r="W17" s="29">
        <v>9471</v>
      </c>
      <c r="X17" s="538"/>
      <c r="Y17" s="722"/>
      <c r="Z17" s="29">
        <f t="shared" si="4"/>
        <v>7576.8</v>
      </c>
      <c r="AA17" s="538"/>
      <c r="AB17" s="583"/>
      <c r="AC17" s="583"/>
      <c r="AD17" s="37"/>
      <c r="AE17" s="37"/>
      <c r="AF17" s="182"/>
      <c r="AG17" s="674"/>
      <c r="AH17" s="688"/>
    </row>
    <row r="18" spans="1:36" ht="24.95" customHeight="1" x14ac:dyDescent="0.2">
      <c r="A18" s="493">
        <v>5</v>
      </c>
      <c r="B18" s="495" t="s">
        <v>249</v>
      </c>
      <c r="C18" s="615">
        <v>2021.3</v>
      </c>
      <c r="D18" s="495" t="s">
        <v>250</v>
      </c>
      <c r="E18" s="410" t="s">
        <v>222</v>
      </c>
      <c r="F18" s="411" t="s">
        <v>251</v>
      </c>
      <c r="G18" s="411" t="s">
        <v>252</v>
      </c>
      <c r="H18" s="755"/>
      <c r="I18" s="756"/>
      <c r="J18" s="412" t="s">
        <v>32</v>
      </c>
      <c r="K18" s="412" t="s">
        <v>32</v>
      </c>
      <c r="L18" s="732">
        <v>159887</v>
      </c>
      <c r="M18" s="560">
        <v>0</v>
      </c>
      <c r="N18" s="560">
        <v>0</v>
      </c>
      <c r="O18" s="560">
        <f>L18</f>
        <v>159887</v>
      </c>
      <c r="P18" s="560">
        <v>0</v>
      </c>
      <c r="Q18" s="560">
        <v>0</v>
      </c>
      <c r="R18" s="518">
        <f>O18</f>
        <v>159887</v>
      </c>
      <c r="S18" s="518">
        <v>0</v>
      </c>
      <c r="T18" s="518">
        <v>0</v>
      </c>
      <c r="U18" s="518">
        <f t="shared" ref="U18" si="5">SUM(R18:T20)</f>
        <v>159887</v>
      </c>
      <c r="V18" s="383">
        <f>U18</f>
        <v>159887</v>
      </c>
      <c r="W18" s="29">
        <v>143898.29999999999</v>
      </c>
      <c r="X18" s="518">
        <f>V18-W18-W19</f>
        <v>0</v>
      </c>
      <c r="Y18" s="722">
        <f>V18*0.8</f>
        <v>127909.6</v>
      </c>
      <c r="Z18" s="29">
        <f t="shared" si="4"/>
        <v>115118.64</v>
      </c>
      <c r="AA18" s="518">
        <f>Y18-Z18-Z19-Z20</f>
        <v>5.4569682106375694E-12</v>
      </c>
      <c r="AB18" s="518">
        <f>22969.68</f>
        <v>22969.68</v>
      </c>
      <c r="AC18" s="518">
        <v>21618.52</v>
      </c>
      <c r="AD18" s="37"/>
      <c r="AE18" s="37"/>
      <c r="AF18" s="182"/>
      <c r="AG18" s="671">
        <f t="shared" ref="AG18" si="6">Y18-AB18-AC18-AF18-AF19-AF20</f>
        <v>83321.400000000009</v>
      </c>
      <c r="AH18" s="684"/>
      <c r="AI18" s="252">
        <f>AB18/V18</f>
        <v>0.14366196126013997</v>
      </c>
      <c r="AJ18" s="252">
        <f>AC18/R18/0.8</f>
        <v>0.16901405367540825</v>
      </c>
    </row>
    <row r="19" spans="1:36" ht="24.95" customHeight="1" x14ac:dyDescent="0.2">
      <c r="A19" s="493"/>
      <c r="B19" s="495"/>
      <c r="C19" s="615"/>
      <c r="D19" s="495"/>
      <c r="E19" s="410"/>
      <c r="F19" s="411"/>
      <c r="G19" s="411"/>
      <c r="H19" s="755"/>
      <c r="I19" s="756"/>
      <c r="J19" s="412"/>
      <c r="K19" s="412"/>
      <c r="L19" s="732"/>
      <c r="M19" s="560"/>
      <c r="N19" s="560"/>
      <c r="O19" s="560"/>
      <c r="P19" s="560"/>
      <c r="Q19" s="560"/>
      <c r="R19" s="518"/>
      <c r="S19" s="518"/>
      <c r="T19" s="518"/>
      <c r="U19" s="518"/>
      <c r="V19" s="383"/>
      <c r="W19" s="29">
        <v>15988.7</v>
      </c>
      <c r="X19" s="518"/>
      <c r="Y19" s="722"/>
      <c r="Z19" s="29">
        <f t="shared" ref="Z19:Z21" si="7">W19*0.8</f>
        <v>12790.960000000001</v>
      </c>
      <c r="AA19" s="518"/>
      <c r="AB19" s="518"/>
      <c r="AC19" s="518"/>
      <c r="AD19" s="37"/>
      <c r="AE19" s="37"/>
      <c r="AF19" s="182"/>
      <c r="AG19" s="671"/>
      <c r="AH19" s="684"/>
    </row>
    <row r="20" spans="1:36" ht="24.95" customHeight="1" x14ac:dyDescent="0.2">
      <c r="A20" s="493"/>
      <c r="B20" s="495"/>
      <c r="C20" s="615"/>
      <c r="D20" s="495"/>
      <c r="E20" s="410"/>
      <c r="F20" s="411"/>
      <c r="G20" s="411"/>
      <c r="H20" s="755"/>
      <c r="I20" s="756"/>
      <c r="J20" s="412"/>
      <c r="K20" s="412"/>
      <c r="L20" s="732"/>
      <c r="M20" s="560"/>
      <c r="N20" s="560"/>
      <c r="O20" s="560"/>
      <c r="P20" s="560"/>
      <c r="Q20" s="560"/>
      <c r="R20" s="518"/>
      <c r="S20" s="518"/>
      <c r="T20" s="518"/>
      <c r="U20" s="518"/>
      <c r="V20" s="383"/>
      <c r="W20" s="29">
        <v>0</v>
      </c>
      <c r="X20" s="518"/>
      <c r="Y20" s="722"/>
      <c r="Z20" s="29">
        <f t="shared" si="7"/>
        <v>0</v>
      </c>
      <c r="AA20" s="518"/>
      <c r="AB20" s="518"/>
      <c r="AC20" s="518"/>
      <c r="AD20" s="37"/>
      <c r="AE20" s="37"/>
      <c r="AF20" s="182"/>
      <c r="AG20" s="671"/>
      <c r="AH20" s="684"/>
    </row>
    <row r="21" spans="1:36" ht="24.95" customHeight="1" x14ac:dyDescent="0.2">
      <c r="A21" s="535">
        <v>6</v>
      </c>
      <c r="B21" s="522" t="s">
        <v>862</v>
      </c>
      <c r="C21" s="614">
        <v>2021.4</v>
      </c>
      <c r="D21" s="522"/>
      <c r="E21" s="410" t="s">
        <v>222</v>
      </c>
      <c r="F21" s="411" t="s">
        <v>848</v>
      </c>
      <c r="G21" s="364" t="s">
        <v>849</v>
      </c>
      <c r="H21" s="463" t="s">
        <v>253</v>
      </c>
      <c r="I21" s="468"/>
      <c r="J21" s="412" t="s">
        <v>33</v>
      </c>
      <c r="K21" s="412" t="s">
        <v>33</v>
      </c>
      <c r="L21" s="715">
        <v>349996.52</v>
      </c>
      <c r="M21" s="736"/>
      <c r="N21" s="736"/>
      <c r="O21" s="559">
        <v>320000</v>
      </c>
      <c r="P21" s="736"/>
      <c r="Q21" s="736"/>
      <c r="R21" s="538">
        <f>O21</f>
        <v>320000</v>
      </c>
      <c r="S21" s="737"/>
      <c r="T21" s="737"/>
      <c r="U21" s="538">
        <f t="shared" ref="U21" si="8">SUM(R21:T23)</f>
        <v>320000</v>
      </c>
      <c r="V21" s="341">
        <f>U21</f>
        <v>320000</v>
      </c>
      <c r="W21" s="31">
        <v>96000</v>
      </c>
      <c r="X21" s="538">
        <f>V21-W21-W22-W23</f>
        <v>0</v>
      </c>
      <c r="Y21" s="660">
        <f>V21*0.8</f>
        <v>256000</v>
      </c>
      <c r="Z21" s="31">
        <f t="shared" si="7"/>
        <v>76800</v>
      </c>
      <c r="AA21" s="538">
        <f>Y21-Z21-Z22-Z23</f>
        <v>0</v>
      </c>
      <c r="AB21" s="538">
        <f>45971.83+54028.17</f>
        <v>100000</v>
      </c>
      <c r="AC21" s="518">
        <f>38460.09+48075.12*0.2</f>
        <v>48075.114000000001</v>
      </c>
      <c r="AD21" s="38" t="s">
        <v>254</v>
      </c>
      <c r="AE21" s="39"/>
      <c r="AF21" s="40">
        <v>2800</v>
      </c>
      <c r="AG21" s="674">
        <f t="shared" ref="AG21" si="9">Y21-AB21-AC21-AF21-AF22-AF23</f>
        <v>98824.885999999999</v>
      </c>
      <c r="AH21" s="688"/>
      <c r="AI21" s="252">
        <f>AB21/V21</f>
        <v>0.3125</v>
      </c>
      <c r="AJ21" s="252">
        <f>AC21/R21/0.8</f>
        <v>0.1877934140625</v>
      </c>
    </row>
    <row r="22" spans="1:36" ht="24.95" customHeight="1" x14ac:dyDescent="0.2">
      <c r="A22" s="493"/>
      <c r="B22" s="495"/>
      <c r="C22" s="615"/>
      <c r="D22" s="495"/>
      <c r="E22" s="410"/>
      <c r="F22" s="411"/>
      <c r="G22" s="411"/>
      <c r="H22" s="410"/>
      <c r="I22" s="412"/>
      <c r="J22" s="412"/>
      <c r="K22" s="412"/>
      <c r="L22" s="732"/>
      <c r="M22" s="736"/>
      <c r="N22" s="736"/>
      <c r="O22" s="560"/>
      <c r="P22" s="736"/>
      <c r="Q22" s="736"/>
      <c r="R22" s="518"/>
      <c r="S22" s="737"/>
      <c r="T22" s="737"/>
      <c r="U22" s="518"/>
      <c r="V22" s="383"/>
      <c r="W22" s="29">
        <v>192000</v>
      </c>
      <c r="X22" s="518"/>
      <c r="Y22" s="722"/>
      <c r="Z22" s="31">
        <f t="shared" ref="Z22:Z23" si="10">W22*0.8</f>
        <v>153600</v>
      </c>
      <c r="AA22" s="518"/>
      <c r="AB22" s="518"/>
      <c r="AC22" s="518"/>
      <c r="AD22" s="36" t="s">
        <v>255</v>
      </c>
      <c r="AE22" s="41"/>
      <c r="AF22" s="42">
        <v>4800</v>
      </c>
      <c r="AG22" s="671"/>
      <c r="AH22" s="684"/>
    </row>
    <row r="23" spans="1:36" ht="24.95" customHeight="1" x14ac:dyDescent="0.2">
      <c r="A23" s="493"/>
      <c r="B23" s="495"/>
      <c r="C23" s="615"/>
      <c r="D23" s="495"/>
      <c r="E23" s="410"/>
      <c r="F23" s="411"/>
      <c r="G23" s="411"/>
      <c r="H23" s="410"/>
      <c r="I23" s="412"/>
      <c r="J23" s="412"/>
      <c r="K23" s="412"/>
      <c r="L23" s="732"/>
      <c r="M23" s="736"/>
      <c r="N23" s="736"/>
      <c r="O23" s="560"/>
      <c r="P23" s="736"/>
      <c r="Q23" s="736"/>
      <c r="R23" s="518"/>
      <c r="S23" s="737"/>
      <c r="T23" s="737"/>
      <c r="U23" s="518"/>
      <c r="V23" s="383"/>
      <c r="W23" s="29">
        <v>32000</v>
      </c>
      <c r="X23" s="518"/>
      <c r="Y23" s="722"/>
      <c r="Z23" s="31">
        <f t="shared" si="10"/>
        <v>25600</v>
      </c>
      <c r="AA23" s="518"/>
      <c r="AB23" s="518"/>
      <c r="AC23" s="518"/>
      <c r="AD23" s="36" t="s">
        <v>256</v>
      </c>
      <c r="AE23" s="41"/>
      <c r="AF23" s="42">
        <v>1500</v>
      </c>
      <c r="AG23" s="671"/>
      <c r="AH23" s="684"/>
    </row>
    <row r="24" spans="1:36" ht="24.95" customHeight="1" x14ac:dyDescent="0.2">
      <c r="A24" s="493">
        <v>7</v>
      </c>
      <c r="B24" s="495" t="s">
        <v>257</v>
      </c>
      <c r="C24" s="615">
        <v>2021.7</v>
      </c>
      <c r="D24" s="495"/>
      <c r="E24" s="410" t="s">
        <v>222</v>
      </c>
      <c r="F24" s="411" t="s">
        <v>258</v>
      </c>
      <c r="G24" s="411" t="s">
        <v>243</v>
      </c>
      <c r="H24" s="410" t="s">
        <v>259</v>
      </c>
      <c r="I24" s="412" t="s">
        <v>260</v>
      </c>
      <c r="J24" s="412" t="s">
        <v>32</v>
      </c>
      <c r="K24" s="412" t="s">
        <v>32</v>
      </c>
      <c r="L24" s="732">
        <v>70488</v>
      </c>
      <c r="M24" s="736"/>
      <c r="N24" s="736"/>
      <c r="O24" s="560">
        <f>R24</f>
        <v>69783</v>
      </c>
      <c r="P24" s="736"/>
      <c r="Q24" s="736"/>
      <c r="R24" s="518">
        <f>6978+62805</f>
        <v>69783</v>
      </c>
      <c r="S24" s="737"/>
      <c r="T24" s="737"/>
      <c r="U24" s="518">
        <f>SUM(R24:T25)</f>
        <v>69783</v>
      </c>
      <c r="V24" s="383">
        <f>U24</f>
        <v>69783</v>
      </c>
      <c r="W24" s="29">
        <v>62805</v>
      </c>
      <c r="X24" s="518">
        <f>V24-W24-W25</f>
        <v>0</v>
      </c>
      <c r="Y24" s="722">
        <f>V24*0.8</f>
        <v>55826.400000000001</v>
      </c>
      <c r="Z24" s="29">
        <f>W24*0.8</f>
        <v>50244</v>
      </c>
      <c r="AA24" s="518">
        <f>Y24-Z24-Z25</f>
        <v>0</v>
      </c>
      <c r="AB24" s="538"/>
      <c r="AC24" s="518"/>
      <c r="AD24" s="37"/>
      <c r="AE24" s="37"/>
      <c r="AF24" s="182"/>
      <c r="AG24" s="671">
        <f>Y24-AB24-AC24-AF24-AF25</f>
        <v>55826.400000000001</v>
      </c>
      <c r="AH24" s="684"/>
    </row>
    <row r="25" spans="1:36" ht="24.95" customHeight="1" x14ac:dyDescent="0.2">
      <c r="A25" s="493"/>
      <c r="B25" s="495"/>
      <c r="C25" s="615"/>
      <c r="D25" s="495"/>
      <c r="E25" s="410"/>
      <c r="F25" s="411"/>
      <c r="G25" s="411"/>
      <c r="H25" s="410"/>
      <c r="I25" s="412"/>
      <c r="J25" s="412"/>
      <c r="K25" s="412"/>
      <c r="L25" s="732"/>
      <c r="M25" s="736"/>
      <c r="N25" s="736"/>
      <c r="O25" s="560"/>
      <c r="P25" s="736"/>
      <c r="Q25" s="736"/>
      <c r="R25" s="518"/>
      <c r="S25" s="737"/>
      <c r="T25" s="737"/>
      <c r="U25" s="518"/>
      <c r="V25" s="383"/>
      <c r="W25" s="29">
        <v>6978</v>
      </c>
      <c r="X25" s="518"/>
      <c r="Y25" s="722"/>
      <c r="Z25" s="29">
        <f>W25*0.8</f>
        <v>5582.4000000000005</v>
      </c>
      <c r="AA25" s="518"/>
      <c r="AB25" s="518"/>
      <c r="AC25" s="518"/>
      <c r="AD25" s="37"/>
      <c r="AE25" s="37"/>
      <c r="AF25" s="182"/>
      <c r="AG25" s="671"/>
      <c r="AH25" s="684"/>
    </row>
    <row r="26" spans="1:36" ht="24.95" customHeight="1" x14ac:dyDescent="0.2">
      <c r="A26" s="533">
        <v>8</v>
      </c>
      <c r="B26" s="520" t="s">
        <v>261</v>
      </c>
      <c r="C26" s="615">
        <v>2021.7</v>
      </c>
      <c r="D26" s="751" t="s">
        <v>936</v>
      </c>
      <c r="E26" s="410" t="s">
        <v>222</v>
      </c>
      <c r="F26" s="411" t="s">
        <v>262</v>
      </c>
      <c r="G26" s="362" t="s">
        <v>603</v>
      </c>
      <c r="H26" s="410" t="s">
        <v>934</v>
      </c>
      <c r="I26" s="412" t="s">
        <v>935</v>
      </c>
      <c r="J26" s="412" t="s">
        <v>231</v>
      </c>
      <c r="K26" s="412" t="s">
        <v>231</v>
      </c>
      <c r="L26" s="732">
        <v>124586.5</v>
      </c>
      <c r="M26" s="560"/>
      <c r="N26" s="560"/>
      <c r="O26" s="560">
        <f>L26</f>
        <v>124586.5</v>
      </c>
      <c r="P26" s="560"/>
      <c r="Q26" s="560"/>
      <c r="R26" s="518">
        <f>O26</f>
        <v>124586.5</v>
      </c>
      <c r="S26" s="518"/>
      <c r="T26" s="518"/>
      <c r="U26" s="518">
        <f t="shared" ref="U26" si="11">SUM(R26:T28)</f>
        <v>124586.5</v>
      </c>
      <c r="V26" s="383">
        <f>U26</f>
        <v>124586.5</v>
      </c>
      <c r="W26" s="29">
        <v>0</v>
      </c>
      <c r="X26" s="518">
        <f>V26-W26-W27-W28</f>
        <v>124586.5</v>
      </c>
      <c r="Y26" s="722">
        <f>V26</f>
        <v>124586.5</v>
      </c>
      <c r="Z26" s="29"/>
      <c r="AA26" s="518">
        <f>Y26-Z26-Z27-Z28</f>
        <v>124586.5</v>
      </c>
      <c r="AB26" s="538"/>
      <c r="AC26" s="518"/>
      <c r="AD26" s="37"/>
      <c r="AE26" s="37"/>
      <c r="AF26" s="182"/>
      <c r="AG26" s="671">
        <f t="shared" ref="AG26" si="12">Y26-AB26-AC26-AF26-AF27-AF28</f>
        <v>124586.5</v>
      </c>
      <c r="AH26" s="684"/>
    </row>
    <row r="27" spans="1:36" ht="24.95" customHeight="1" x14ac:dyDescent="0.2">
      <c r="A27" s="534"/>
      <c r="B27" s="521"/>
      <c r="C27" s="615"/>
      <c r="D27" s="751"/>
      <c r="E27" s="410"/>
      <c r="F27" s="411"/>
      <c r="G27" s="363"/>
      <c r="H27" s="410"/>
      <c r="I27" s="412"/>
      <c r="J27" s="412"/>
      <c r="K27" s="412"/>
      <c r="L27" s="732"/>
      <c r="M27" s="560"/>
      <c r="N27" s="560"/>
      <c r="O27" s="560"/>
      <c r="P27" s="560"/>
      <c r="Q27" s="560"/>
      <c r="R27" s="518"/>
      <c r="S27" s="518"/>
      <c r="T27" s="518"/>
      <c r="U27" s="518"/>
      <c r="V27" s="383"/>
      <c r="W27" s="29">
        <v>0</v>
      </c>
      <c r="X27" s="518"/>
      <c r="Y27" s="722"/>
      <c r="Z27" s="29"/>
      <c r="AA27" s="518"/>
      <c r="AB27" s="518"/>
      <c r="AC27" s="518"/>
      <c r="AD27" s="37"/>
      <c r="AE27" s="37"/>
      <c r="AF27" s="182"/>
      <c r="AG27" s="671"/>
      <c r="AH27" s="684"/>
    </row>
    <row r="28" spans="1:36" ht="24.95" customHeight="1" x14ac:dyDescent="0.2">
      <c r="A28" s="534"/>
      <c r="B28" s="521"/>
      <c r="C28" s="615"/>
      <c r="D28" s="751"/>
      <c r="E28" s="410"/>
      <c r="F28" s="411"/>
      <c r="G28" s="363"/>
      <c r="H28" s="410"/>
      <c r="I28" s="412"/>
      <c r="J28" s="412"/>
      <c r="K28" s="412"/>
      <c r="L28" s="732"/>
      <c r="M28" s="560"/>
      <c r="N28" s="560"/>
      <c r="O28" s="560"/>
      <c r="P28" s="560"/>
      <c r="Q28" s="560"/>
      <c r="R28" s="518"/>
      <c r="S28" s="518"/>
      <c r="T28" s="518"/>
      <c r="U28" s="518"/>
      <c r="V28" s="383"/>
      <c r="W28" s="29">
        <v>0</v>
      </c>
      <c r="X28" s="518"/>
      <c r="Y28" s="722"/>
      <c r="Z28" s="29"/>
      <c r="AA28" s="518"/>
      <c r="AB28" s="518"/>
      <c r="AC28" s="518"/>
      <c r="AD28" s="37"/>
      <c r="AE28" s="37"/>
      <c r="AF28" s="182"/>
      <c r="AG28" s="671"/>
      <c r="AH28" s="684"/>
    </row>
    <row r="29" spans="1:36" ht="24.95" customHeight="1" x14ac:dyDescent="0.2">
      <c r="A29" s="534"/>
      <c r="B29" s="521"/>
      <c r="C29" s="615">
        <v>2021.7</v>
      </c>
      <c r="D29" s="752" t="s">
        <v>572</v>
      </c>
      <c r="E29" s="410" t="s">
        <v>222</v>
      </c>
      <c r="F29" s="411" t="s">
        <v>264</v>
      </c>
      <c r="G29" s="363"/>
      <c r="H29" s="410"/>
      <c r="I29" s="412"/>
      <c r="J29" s="412" t="s">
        <v>231</v>
      </c>
      <c r="K29" s="412" t="s">
        <v>231</v>
      </c>
      <c r="L29" s="732">
        <v>70785</v>
      </c>
      <c r="M29" s="560"/>
      <c r="N29" s="560"/>
      <c r="O29" s="560">
        <f>L29</f>
        <v>70785</v>
      </c>
      <c r="P29" s="560"/>
      <c r="Q29" s="560"/>
      <c r="R29" s="518">
        <v>70785</v>
      </c>
      <c r="S29" s="737"/>
      <c r="T29" s="737"/>
      <c r="U29" s="518">
        <f t="shared" ref="U29" si="13">SUM(R29:T31)</f>
        <v>70785</v>
      </c>
      <c r="V29" s="383">
        <f>U29</f>
        <v>70785</v>
      </c>
      <c r="W29" s="29">
        <v>0</v>
      </c>
      <c r="X29" s="518">
        <f>V29-W29-W30-W31</f>
        <v>70785</v>
      </c>
      <c r="Y29" s="722">
        <f>V29*0.8</f>
        <v>56628</v>
      </c>
      <c r="Z29" s="29"/>
      <c r="AA29" s="518">
        <f>Y29-Z29-Z30-Z31</f>
        <v>56628</v>
      </c>
      <c r="AB29" s="538"/>
      <c r="AC29" s="518"/>
      <c r="AD29" s="37"/>
      <c r="AE29" s="37"/>
      <c r="AF29" s="182"/>
      <c r="AG29" s="671">
        <f t="shared" ref="AG29" si="14">Y29-AB29-AC29-AF29-AF30-AF31</f>
        <v>56628</v>
      </c>
      <c r="AH29" s="684"/>
    </row>
    <row r="30" spans="1:36" ht="24.95" customHeight="1" x14ac:dyDescent="0.2">
      <c r="A30" s="534"/>
      <c r="B30" s="521"/>
      <c r="C30" s="615"/>
      <c r="D30" s="752"/>
      <c r="E30" s="410"/>
      <c r="F30" s="411"/>
      <c r="G30" s="363"/>
      <c r="H30" s="410"/>
      <c r="I30" s="412"/>
      <c r="J30" s="412"/>
      <c r="K30" s="412"/>
      <c r="L30" s="732"/>
      <c r="M30" s="560"/>
      <c r="N30" s="560"/>
      <c r="O30" s="560"/>
      <c r="P30" s="560"/>
      <c r="Q30" s="560"/>
      <c r="R30" s="518"/>
      <c r="S30" s="737"/>
      <c r="T30" s="737"/>
      <c r="U30" s="518"/>
      <c r="V30" s="383"/>
      <c r="W30" s="29">
        <v>0</v>
      </c>
      <c r="X30" s="518"/>
      <c r="Y30" s="722"/>
      <c r="Z30" s="29"/>
      <c r="AA30" s="518"/>
      <c r="AB30" s="518"/>
      <c r="AC30" s="518"/>
      <c r="AD30" s="37"/>
      <c r="AE30" s="37"/>
      <c r="AF30" s="182"/>
      <c r="AG30" s="671"/>
      <c r="AH30" s="684"/>
    </row>
    <row r="31" spans="1:36" ht="24.95" customHeight="1" x14ac:dyDescent="0.2">
      <c r="A31" s="534"/>
      <c r="B31" s="521"/>
      <c r="C31" s="615"/>
      <c r="D31" s="752"/>
      <c r="E31" s="410"/>
      <c r="F31" s="411"/>
      <c r="G31" s="363"/>
      <c r="H31" s="410"/>
      <c r="I31" s="412"/>
      <c r="J31" s="412"/>
      <c r="K31" s="412"/>
      <c r="L31" s="732"/>
      <c r="M31" s="560"/>
      <c r="N31" s="560"/>
      <c r="O31" s="560"/>
      <c r="P31" s="560"/>
      <c r="Q31" s="560"/>
      <c r="R31" s="518"/>
      <c r="S31" s="737"/>
      <c r="T31" s="737"/>
      <c r="U31" s="518"/>
      <c r="V31" s="383"/>
      <c r="W31" s="29">
        <v>0</v>
      </c>
      <c r="X31" s="518"/>
      <c r="Y31" s="722"/>
      <c r="Z31" s="29"/>
      <c r="AA31" s="518"/>
      <c r="AB31" s="518"/>
      <c r="AC31" s="518"/>
      <c r="AD31" s="37"/>
      <c r="AE31" s="37"/>
      <c r="AF31" s="182"/>
      <c r="AG31" s="671"/>
      <c r="AH31" s="684"/>
    </row>
    <row r="32" spans="1:36" ht="24.95" customHeight="1" x14ac:dyDescent="0.2">
      <c r="A32" s="534"/>
      <c r="B32" s="521"/>
      <c r="C32" s="615">
        <v>2021.7</v>
      </c>
      <c r="D32" s="751" t="s">
        <v>770</v>
      </c>
      <c r="E32" s="410" t="s">
        <v>222</v>
      </c>
      <c r="F32" s="411" t="s">
        <v>264</v>
      </c>
      <c r="G32" s="363"/>
      <c r="H32" s="410" t="s">
        <v>768</v>
      </c>
      <c r="I32" s="412" t="s">
        <v>769</v>
      </c>
      <c r="J32" s="412" t="s">
        <v>231</v>
      </c>
      <c r="K32" s="412" t="s">
        <v>231</v>
      </c>
      <c r="L32" s="732">
        <v>24136.7</v>
      </c>
      <c r="M32" s="736"/>
      <c r="N32" s="736"/>
      <c r="O32" s="560">
        <v>24136.7</v>
      </c>
      <c r="P32" s="736"/>
      <c r="Q32" s="736"/>
      <c r="R32" s="518">
        <v>24136.7</v>
      </c>
      <c r="S32" s="737"/>
      <c r="T32" s="737"/>
      <c r="U32" s="518">
        <f t="shared" ref="U32" si="15">SUM(R32:T34)</f>
        <v>24136.7</v>
      </c>
      <c r="V32" s="383">
        <f>U32</f>
        <v>24136.7</v>
      </c>
      <c r="W32" s="29">
        <v>0</v>
      </c>
      <c r="X32" s="518">
        <f>V32-W32-W33-W34</f>
        <v>24136.7</v>
      </c>
      <c r="Y32" s="722">
        <f>V32*0.8</f>
        <v>19309.36</v>
      </c>
      <c r="Z32" s="29"/>
      <c r="AA32" s="518">
        <f>Y32-Z32-Z33-Z34</f>
        <v>19309.36</v>
      </c>
      <c r="AB32" s="538"/>
      <c r="AC32" s="518"/>
      <c r="AD32" s="37"/>
      <c r="AE32" s="37"/>
      <c r="AF32" s="182"/>
      <c r="AG32" s="671">
        <f t="shared" ref="AG32" si="16">Y32-AB32-AC32-AF32-AF33-AF34</f>
        <v>19309.36</v>
      </c>
      <c r="AH32" s="684"/>
    </row>
    <row r="33" spans="1:34" ht="24.95" customHeight="1" x14ac:dyDescent="0.2">
      <c r="A33" s="534"/>
      <c r="B33" s="521"/>
      <c r="C33" s="615"/>
      <c r="D33" s="751"/>
      <c r="E33" s="410"/>
      <c r="F33" s="411"/>
      <c r="G33" s="363"/>
      <c r="H33" s="410"/>
      <c r="I33" s="412"/>
      <c r="J33" s="412"/>
      <c r="K33" s="412"/>
      <c r="L33" s="732"/>
      <c r="M33" s="736"/>
      <c r="N33" s="736"/>
      <c r="O33" s="560"/>
      <c r="P33" s="736"/>
      <c r="Q33" s="736"/>
      <c r="R33" s="518"/>
      <c r="S33" s="737"/>
      <c r="T33" s="737"/>
      <c r="U33" s="518"/>
      <c r="V33" s="383"/>
      <c r="W33" s="29">
        <v>0</v>
      </c>
      <c r="X33" s="518"/>
      <c r="Y33" s="722"/>
      <c r="Z33" s="29"/>
      <c r="AA33" s="518"/>
      <c r="AB33" s="518"/>
      <c r="AC33" s="518"/>
      <c r="AD33" s="37"/>
      <c r="AE33" s="37"/>
      <c r="AF33" s="182"/>
      <c r="AG33" s="671"/>
      <c r="AH33" s="684"/>
    </row>
    <row r="34" spans="1:34" ht="24.95" customHeight="1" x14ac:dyDescent="0.2">
      <c r="A34" s="534"/>
      <c r="B34" s="521"/>
      <c r="C34" s="615"/>
      <c r="D34" s="751"/>
      <c r="E34" s="410"/>
      <c r="F34" s="411"/>
      <c r="G34" s="363"/>
      <c r="H34" s="410"/>
      <c r="I34" s="412"/>
      <c r="J34" s="412"/>
      <c r="K34" s="412"/>
      <c r="L34" s="732"/>
      <c r="M34" s="736"/>
      <c r="N34" s="736"/>
      <c r="O34" s="560"/>
      <c r="P34" s="736"/>
      <c r="Q34" s="736"/>
      <c r="R34" s="518"/>
      <c r="S34" s="737"/>
      <c r="T34" s="737"/>
      <c r="U34" s="518"/>
      <c r="V34" s="383"/>
      <c r="W34" s="29">
        <v>0</v>
      </c>
      <c r="X34" s="518"/>
      <c r="Y34" s="722"/>
      <c r="Z34" s="29"/>
      <c r="AA34" s="518"/>
      <c r="AB34" s="518"/>
      <c r="AC34" s="518"/>
      <c r="AD34" s="37"/>
      <c r="AE34" s="37"/>
      <c r="AF34" s="182"/>
      <c r="AG34" s="671"/>
      <c r="AH34" s="684"/>
    </row>
    <row r="35" spans="1:34" ht="24.95" customHeight="1" x14ac:dyDescent="0.2">
      <c r="A35" s="534"/>
      <c r="B35" s="521"/>
      <c r="C35" s="615">
        <v>2021.7</v>
      </c>
      <c r="D35" s="696" t="s">
        <v>937</v>
      </c>
      <c r="E35" s="410" t="s">
        <v>222</v>
      </c>
      <c r="F35" s="411" t="s">
        <v>265</v>
      </c>
      <c r="G35" s="363"/>
      <c r="H35" s="410"/>
      <c r="I35" s="412"/>
      <c r="J35" s="412" t="s">
        <v>231</v>
      </c>
      <c r="K35" s="412" t="s">
        <v>231</v>
      </c>
      <c r="L35" s="732">
        <v>162660.48000000001</v>
      </c>
      <c r="M35" s="560"/>
      <c r="N35" s="560"/>
      <c r="O35" s="557"/>
      <c r="P35" s="560"/>
      <c r="Q35" s="560"/>
      <c r="R35" s="518">
        <v>0</v>
      </c>
      <c r="S35" s="518"/>
      <c r="T35" s="518"/>
      <c r="U35" s="518">
        <f t="shared" ref="U35" si="17">SUM(R35:T37)</f>
        <v>0</v>
      </c>
      <c r="V35" s="383">
        <f>U35</f>
        <v>0</v>
      </c>
      <c r="W35" s="29">
        <v>0</v>
      </c>
      <c r="X35" s="518">
        <f>V35-W35-W36-W37</f>
        <v>0</v>
      </c>
      <c r="Y35" s="722">
        <f>V35*0.8</f>
        <v>0</v>
      </c>
      <c r="Z35" s="29"/>
      <c r="AA35" s="518">
        <f>Y35-Z35-Z36-Z37</f>
        <v>0</v>
      </c>
      <c r="AB35" s="538"/>
      <c r="AC35" s="518"/>
      <c r="AD35" s="37"/>
      <c r="AE35" s="37"/>
      <c r="AF35" s="182"/>
      <c r="AG35" s="671">
        <f t="shared" ref="AG35" si="18">Y35-AB35-AC35-AF35-AF36-AF37</f>
        <v>0</v>
      </c>
      <c r="AH35" s="684"/>
    </row>
    <row r="36" spans="1:34" ht="24.95" customHeight="1" x14ac:dyDescent="0.2">
      <c r="A36" s="534"/>
      <c r="B36" s="521"/>
      <c r="C36" s="615"/>
      <c r="D36" s="696"/>
      <c r="E36" s="410"/>
      <c r="F36" s="411"/>
      <c r="G36" s="363"/>
      <c r="H36" s="410"/>
      <c r="I36" s="412"/>
      <c r="J36" s="412"/>
      <c r="K36" s="412"/>
      <c r="L36" s="732"/>
      <c r="M36" s="560"/>
      <c r="N36" s="560"/>
      <c r="O36" s="558"/>
      <c r="P36" s="560"/>
      <c r="Q36" s="560"/>
      <c r="R36" s="518"/>
      <c r="S36" s="518"/>
      <c r="T36" s="518"/>
      <c r="U36" s="518"/>
      <c r="V36" s="383"/>
      <c r="W36" s="29">
        <v>0</v>
      </c>
      <c r="X36" s="518"/>
      <c r="Y36" s="722"/>
      <c r="Z36" s="29"/>
      <c r="AA36" s="518"/>
      <c r="AB36" s="518"/>
      <c r="AC36" s="518"/>
      <c r="AD36" s="37"/>
      <c r="AE36" s="37"/>
      <c r="AF36" s="182"/>
      <c r="AG36" s="671"/>
      <c r="AH36" s="684"/>
    </row>
    <row r="37" spans="1:34" ht="24.95" customHeight="1" x14ac:dyDescent="0.2">
      <c r="A37" s="534"/>
      <c r="B37" s="521"/>
      <c r="C37" s="615"/>
      <c r="D37" s="696"/>
      <c r="E37" s="410"/>
      <c r="F37" s="411"/>
      <c r="G37" s="363"/>
      <c r="H37" s="410"/>
      <c r="I37" s="412"/>
      <c r="J37" s="412"/>
      <c r="K37" s="412"/>
      <c r="L37" s="732"/>
      <c r="M37" s="560"/>
      <c r="N37" s="560"/>
      <c r="O37" s="559"/>
      <c r="P37" s="560"/>
      <c r="Q37" s="560"/>
      <c r="R37" s="518"/>
      <c r="S37" s="518"/>
      <c r="T37" s="518"/>
      <c r="U37" s="518"/>
      <c r="V37" s="383"/>
      <c r="W37" s="29">
        <v>0</v>
      </c>
      <c r="X37" s="518"/>
      <c r="Y37" s="722"/>
      <c r="Z37" s="29"/>
      <c r="AA37" s="518"/>
      <c r="AB37" s="518"/>
      <c r="AC37" s="518"/>
      <c r="AD37" s="37"/>
      <c r="AE37" s="37"/>
      <c r="AF37" s="182"/>
      <c r="AG37" s="671"/>
      <c r="AH37" s="684"/>
    </row>
    <row r="38" spans="1:34" ht="24.95" customHeight="1" x14ac:dyDescent="0.2">
      <c r="A38" s="534"/>
      <c r="B38" s="521"/>
      <c r="C38" s="615">
        <v>2021.7</v>
      </c>
      <c r="D38" s="495" t="s">
        <v>757</v>
      </c>
      <c r="E38" s="410" t="s">
        <v>222</v>
      </c>
      <c r="F38" s="411" t="s">
        <v>601</v>
      </c>
      <c r="G38" s="363"/>
      <c r="H38" s="410"/>
      <c r="I38" s="412"/>
      <c r="J38" s="412" t="s">
        <v>231</v>
      </c>
      <c r="K38" s="412" t="s">
        <v>231</v>
      </c>
      <c r="L38" s="732">
        <v>54382</v>
      </c>
      <c r="M38" s="736"/>
      <c r="N38" s="736"/>
      <c r="O38" s="557">
        <f>L38</f>
        <v>54382</v>
      </c>
      <c r="P38" s="736"/>
      <c r="Q38" s="736"/>
      <c r="R38" s="518">
        <v>54382</v>
      </c>
      <c r="S38" s="737"/>
      <c r="T38" s="737"/>
      <c r="U38" s="518">
        <f t="shared" ref="U38" si="19">SUM(R38:T40)</f>
        <v>54382</v>
      </c>
      <c r="V38" s="383">
        <f>U38</f>
        <v>54382</v>
      </c>
      <c r="W38" s="29">
        <v>54382</v>
      </c>
      <c r="X38" s="518">
        <f>V38-W38-W39-W40</f>
        <v>0</v>
      </c>
      <c r="Y38" s="722">
        <f>U38</f>
        <v>54382</v>
      </c>
      <c r="Z38" s="29">
        <f>Y38</f>
        <v>54382</v>
      </c>
      <c r="AA38" s="518">
        <f>Y38-Z38-Z39-Z40</f>
        <v>0</v>
      </c>
      <c r="AB38" s="538"/>
      <c r="AC38" s="518"/>
      <c r="AD38" s="37"/>
      <c r="AE38" s="37"/>
      <c r="AF38" s="182"/>
      <c r="AG38" s="671">
        <f t="shared" ref="AG38" si="20">Y38-AB38-AC38-AF38-AF39-AF40</f>
        <v>54382</v>
      </c>
      <c r="AH38" s="684"/>
    </row>
    <row r="39" spans="1:34" ht="24.95" customHeight="1" x14ac:dyDescent="0.2">
      <c r="A39" s="534"/>
      <c r="B39" s="521"/>
      <c r="C39" s="615"/>
      <c r="D39" s="495"/>
      <c r="E39" s="410"/>
      <c r="F39" s="411"/>
      <c r="G39" s="363"/>
      <c r="H39" s="410"/>
      <c r="I39" s="412"/>
      <c r="J39" s="412"/>
      <c r="K39" s="412"/>
      <c r="L39" s="732"/>
      <c r="M39" s="736"/>
      <c r="N39" s="736"/>
      <c r="O39" s="558"/>
      <c r="P39" s="736"/>
      <c r="Q39" s="736"/>
      <c r="R39" s="518"/>
      <c r="S39" s="737"/>
      <c r="T39" s="737"/>
      <c r="U39" s="518"/>
      <c r="V39" s="383"/>
      <c r="W39" s="29">
        <v>0</v>
      </c>
      <c r="X39" s="518"/>
      <c r="Y39" s="722"/>
      <c r="Z39" s="29">
        <v>0</v>
      </c>
      <c r="AA39" s="518"/>
      <c r="AB39" s="518"/>
      <c r="AC39" s="518"/>
      <c r="AD39" s="37"/>
      <c r="AE39" s="37"/>
      <c r="AF39" s="182"/>
      <c r="AG39" s="671"/>
      <c r="AH39" s="684"/>
    </row>
    <row r="40" spans="1:34" ht="24.95" customHeight="1" x14ac:dyDescent="0.2">
      <c r="A40" s="534"/>
      <c r="B40" s="521"/>
      <c r="C40" s="615"/>
      <c r="D40" s="495"/>
      <c r="E40" s="410"/>
      <c r="F40" s="411"/>
      <c r="G40" s="363"/>
      <c r="H40" s="410"/>
      <c r="I40" s="412"/>
      <c r="J40" s="412"/>
      <c r="K40" s="412"/>
      <c r="L40" s="732"/>
      <c r="M40" s="736"/>
      <c r="N40" s="736"/>
      <c r="O40" s="559"/>
      <c r="P40" s="736"/>
      <c r="Q40" s="736"/>
      <c r="R40" s="518"/>
      <c r="S40" s="737"/>
      <c r="T40" s="737"/>
      <c r="U40" s="518"/>
      <c r="V40" s="383"/>
      <c r="W40" s="29">
        <v>0</v>
      </c>
      <c r="X40" s="518"/>
      <c r="Y40" s="722"/>
      <c r="Z40" s="29">
        <v>0</v>
      </c>
      <c r="AA40" s="518"/>
      <c r="AB40" s="518"/>
      <c r="AC40" s="518"/>
      <c r="AD40" s="37"/>
      <c r="AE40" s="37"/>
      <c r="AF40" s="182"/>
      <c r="AG40" s="671"/>
      <c r="AH40" s="684"/>
    </row>
    <row r="41" spans="1:34" ht="24.95" customHeight="1" x14ac:dyDescent="0.2">
      <c r="A41" s="534"/>
      <c r="B41" s="521"/>
      <c r="C41" s="615">
        <v>2021.7</v>
      </c>
      <c r="D41" s="495" t="s">
        <v>266</v>
      </c>
      <c r="E41" s="410" t="s">
        <v>222</v>
      </c>
      <c r="F41" s="411" t="s">
        <v>602</v>
      </c>
      <c r="G41" s="363"/>
      <c r="H41" s="410"/>
      <c r="I41" s="412"/>
      <c r="J41" s="412" t="s">
        <v>231</v>
      </c>
      <c r="K41" s="412" t="s">
        <v>231</v>
      </c>
      <c r="L41" s="732">
        <v>42278</v>
      </c>
      <c r="M41" s="736"/>
      <c r="N41" s="736"/>
      <c r="O41" s="557">
        <f>L41</f>
        <v>42278</v>
      </c>
      <c r="P41" s="736"/>
      <c r="Q41" s="736"/>
      <c r="R41" s="518">
        <v>42278</v>
      </c>
      <c r="S41" s="737"/>
      <c r="T41" s="737"/>
      <c r="U41" s="518">
        <f t="shared" ref="U41" si="21">SUM(R41:T43)</f>
        <v>42278</v>
      </c>
      <c r="V41" s="383">
        <f>U41</f>
        <v>42278</v>
      </c>
      <c r="W41" s="29">
        <v>42278</v>
      </c>
      <c r="X41" s="518">
        <f>V41-W41-W42-W43</f>
        <v>0</v>
      </c>
      <c r="Y41" s="722">
        <f>V41</f>
        <v>42278</v>
      </c>
      <c r="Z41" s="29">
        <f>Y41</f>
        <v>42278</v>
      </c>
      <c r="AA41" s="518">
        <f>Y41-Z41-Z42-Z43</f>
        <v>0</v>
      </c>
      <c r="AB41" s="538"/>
      <c r="AC41" s="518"/>
      <c r="AD41" s="37"/>
      <c r="AE41" s="37"/>
      <c r="AF41" s="182"/>
      <c r="AG41" s="671">
        <f t="shared" ref="AG41" si="22">Y41-AB41-AC41-AF41-AF42-AF43</f>
        <v>42278</v>
      </c>
      <c r="AH41" s="684"/>
    </row>
    <row r="42" spans="1:34" ht="24.95" customHeight="1" x14ac:dyDescent="0.2">
      <c r="A42" s="534"/>
      <c r="B42" s="521"/>
      <c r="C42" s="615"/>
      <c r="D42" s="495"/>
      <c r="E42" s="410"/>
      <c r="F42" s="411"/>
      <c r="G42" s="363"/>
      <c r="H42" s="410"/>
      <c r="I42" s="412"/>
      <c r="J42" s="412"/>
      <c r="K42" s="412"/>
      <c r="L42" s="732"/>
      <c r="M42" s="736"/>
      <c r="N42" s="736"/>
      <c r="O42" s="558"/>
      <c r="P42" s="736"/>
      <c r="Q42" s="736"/>
      <c r="R42" s="518"/>
      <c r="S42" s="737"/>
      <c r="T42" s="737"/>
      <c r="U42" s="518"/>
      <c r="V42" s="383"/>
      <c r="W42" s="29">
        <v>0</v>
      </c>
      <c r="X42" s="518"/>
      <c r="Y42" s="722"/>
      <c r="Z42" s="29">
        <v>0</v>
      </c>
      <c r="AA42" s="518"/>
      <c r="AB42" s="518"/>
      <c r="AC42" s="518"/>
      <c r="AD42" s="37"/>
      <c r="AE42" s="37"/>
      <c r="AF42" s="182"/>
      <c r="AG42" s="671"/>
      <c r="AH42" s="684"/>
    </row>
    <row r="43" spans="1:34" ht="24.95" customHeight="1" x14ac:dyDescent="0.2">
      <c r="A43" s="535"/>
      <c r="B43" s="522"/>
      <c r="C43" s="615"/>
      <c r="D43" s="495"/>
      <c r="E43" s="410"/>
      <c r="F43" s="411"/>
      <c r="G43" s="364"/>
      <c r="H43" s="410"/>
      <c r="I43" s="412"/>
      <c r="J43" s="412"/>
      <c r="K43" s="412"/>
      <c r="L43" s="732"/>
      <c r="M43" s="736"/>
      <c r="N43" s="736"/>
      <c r="O43" s="559"/>
      <c r="P43" s="736"/>
      <c r="Q43" s="736"/>
      <c r="R43" s="518"/>
      <c r="S43" s="737"/>
      <c r="T43" s="737"/>
      <c r="U43" s="518"/>
      <c r="V43" s="383"/>
      <c r="W43" s="29">
        <v>0</v>
      </c>
      <c r="X43" s="518"/>
      <c r="Y43" s="722"/>
      <c r="Z43" s="29">
        <v>0</v>
      </c>
      <c r="AA43" s="518"/>
      <c r="AB43" s="518"/>
      <c r="AC43" s="518"/>
      <c r="AD43" s="37"/>
      <c r="AE43" s="37"/>
      <c r="AF43" s="182"/>
      <c r="AG43" s="671"/>
      <c r="AH43" s="684"/>
    </row>
    <row r="44" spans="1:34" ht="24.95" customHeight="1" x14ac:dyDescent="0.2">
      <c r="A44" s="493">
        <v>9</v>
      </c>
      <c r="B44" s="495" t="s">
        <v>561</v>
      </c>
      <c r="C44" s="615">
        <v>2021.7</v>
      </c>
      <c r="D44" s="495" t="s">
        <v>560</v>
      </c>
      <c r="E44" s="410" t="s">
        <v>222</v>
      </c>
      <c r="F44" s="411" t="s">
        <v>267</v>
      </c>
      <c r="G44" s="411"/>
      <c r="H44" s="410"/>
      <c r="I44" s="412"/>
      <c r="J44" s="412" t="s">
        <v>32</v>
      </c>
      <c r="K44" s="412" t="s">
        <v>32</v>
      </c>
      <c r="L44" s="732">
        <v>86316</v>
      </c>
      <c r="M44" s="560">
        <v>15232</v>
      </c>
      <c r="N44" s="736"/>
      <c r="O44" s="560">
        <f>INT(L44*0.99)+1</f>
        <v>85453</v>
      </c>
      <c r="P44" s="560">
        <f>INT(M44*0.99)</f>
        <v>15079</v>
      </c>
      <c r="Q44" s="736"/>
      <c r="R44" s="518">
        <f>O44</f>
        <v>85453</v>
      </c>
      <c r="S44" s="518">
        <f>P44</f>
        <v>15079</v>
      </c>
      <c r="T44" s="737"/>
      <c r="U44" s="518">
        <f t="shared" ref="U44" si="23">SUM(R44:T46)</f>
        <v>100532</v>
      </c>
      <c r="V44" s="383">
        <f>U44</f>
        <v>100532</v>
      </c>
      <c r="W44" s="29">
        <v>91987</v>
      </c>
      <c r="X44" s="518">
        <f>V44-W44-W45-W46</f>
        <v>0</v>
      </c>
      <c r="Y44" s="722">
        <f>V44*0.8</f>
        <v>80425.600000000006</v>
      </c>
      <c r="Z44" s="29">
        <f>W44*0.8</f>
        <v>73589.600000000006</v>
      </c>
      <c r="AA44" s="518">
        <f>Y44-Z44-Z45-Z46</f>
        <v>0</v>
      </c>
      <c r="AB44" s="538"/>
      <c r="AC44" s="518"/>
      <c r="AD44" s="36"/>
      <c r="AE44" s="36"/>
      <c r="AF44" s="179"/>
      <c r="AG44" s="671">
        <f t="shared" ref="AG44" si="24">Y44-AB44-AC44-AF44-AF45-AF46</f>
        <v>80425.600000000006</v>
      </c>
      <c r="AH44" s="684"/>
    </row>
    <row r="45" spans="1:34" ht="24.95" customHeight="1" x14ac:dyDescent="0.2">
      <c r="A45" s="493"/>
      <c r="B45" s="495"/>
      <c r="C45" s="615"/>
      <c r="D45" s="495"/>
      <c r="E45" s="410"/>
      <c r="F45" s="411"/>
      <c r="G45" s="411"/>
      <c r="H45" s="410"/>
      <c r="I45" s="412"/>
      <c r="J45" s="412"/>
      <c r="K45" s="412"/>
      <c r="L45" s="732"/>
      <c r="M45" s="560"/>
      <c r="N45" s="736"/>
      <c r="O45" s="560"/>
      <c r="P45" s="560"/>
      <c r="Q45" s="736"/>
      <c r="R45" s="518"/>
      <c r="S45" s="518"/>
      <c r="T45" s="737"/>
      <c r="U45" s="518"/>
      <c r="V45" s="383"/>
      <c r="W45" s="29">
        <v>8545</v>
      </c>
      <c r="X45" s="518"/>
      <c r="Y45" s="722"/>
      <c r="Z45" s="29">
        <f>W45*0.8</f>
        <v>6836</v>
      </c>
      <c r="AA45" s="518"/>
      <c r="AB45" s="518"/>
      <c r="AC45" s="518"/>
      <c r="AD45" s="36"/>
      <c r="AE45" s="36"/>
      <c r="AF45" s="179"/>
      <c r="AG45" s="671"/>
      <c r="AH45" s="684"/>
    </row>
    <row r="46" spans="1:34" ht="24.95" customHeight="1" x14ac:dyDescent="0.2">
      <c r="A46" s="493"/>
      <c r="B46" s="495"/>
      <c r="C46" s="615"/>
      <c r="D46" s="495"/>
      <c r="E46" s="410"/>
      <c r="F46" s="411"/>
      <c r="G46" s="411"/>
      <c r="H46" s="410"/>
      <c r="I46" s="412"/>
      <c r="J46" s="412"/>
      <c r="K46" s="412"/>
      <c r="L46" s="732"/>
      <c r="M46" s="560"/>
      <c r="N46" s="736"/>
      <c r="O46" s="560"/>
      <c r="P46" s="560"/>
      <c r="Q46" s="736"/>
      <c r="R46" s="518"/>
      <c r="S46" s="518"/>
      <c r="T46" s="737"/>
      <c r="U46" s="518"/>
      <c r="V46" s="383"/>
      <c r="W46" s="29">
        <v>0</v>
      </c>
      <c r="X46" s="518"/>
      <c r="Y46" s="722"/>
      <c r="Z46" s="29">
        <v>0</v>
      </c>
      <c r="AA46" s="518"/>
      <c r="AB46" s="518"/>
      <c r="AC46" s="518"/>
      <c r="AD46" s="36"/>
      <c r="AE46" s="36"/>
      <c r="AF46" s="179"/>
      <c r="AG46" s="671"/>
      <c r="AH46" s="684"/>
    </row>
    <row r="47" spans="1:34" ht="24.95" customHeight="1" x14ac:dyDescent="0.2">
      <c r="A47" s="493">
        <v>10</v>
      </c>
      <c r="B47" s="495" t="s">
        <v>268</v>
      </c>
      <c r="C47" s="615">
        <v>2021.8</v>
      </c>
      <c r="D47" s="495" t="s">
        <v>269</v>
      </c>
      <c r="E47" s="410" t="s">
        <v>222</v>
      </c>
      <c r="F47" s="411" t="s">
        <v>270</v>
      </c>
      <c r="G47" s="411"/>
      <c r="H47" s="410"/>
      <c r="I47" s="412"/>
      <c r="J47" s="412" t="s">
        <v>32</v>
      </c>
      <c r="K47" s="412" t="s">
        <v>32</v>
      </c>
      <c r="L47" s="732">
        <v>66822</v>
      </c>
      <c r="M47" s="560">
        <v>11792</v>
      </c>
      <c r="N47" s="736"/>
      <c r="O47" s="560">
        <f>INT(L47*0.99)-369</f>
        <v>65784</v>
      </c>
      <c r="P47" s="560">
        <f>INT(M47*0.99)</f>
        <v>11674</v>
      </c>
      <c r="Q47" s="736"/>
      <c r="R47" s="518">
        <f>O47</f>
        <v>65784</v>
      </c>
      <c r="S47" s="518">
        <f>P47</f>
        <v>11674</v>
      </c>
      <c r="T47" s="737"/>
      <c r="U47" s="518">
        <f t="shared" ref="U47" si="25">SUM(R47:T49)</f>
        <v>77458</v>
      </c>
      <c r="V47" s="383">
        <f>U47</f>
        <v>77458</v>
      </c>
      <c r="W47" s="29">
        <v>70874</v>
      </c>
      <c r="X47" s="518">
        <f>V47-W47-W48-W49</f>
        <v>0</v>
      </c>
      <c r="Y47" s="722">
        <f>V47*0.8</f>
        <v>61966.400000000001</v>
      </c>
      <c r="Z47" s="29">
        <f t="shared" ref="Z47:Z52" si="26">W47*0.8</f>
        <v>56699.200000000004</v>
      </c>
      <c r="AA47" s="518">
        <f>Y47-Z47-Z48-Z49</f>
        <v>-3.637978807091713E-12</v>
      </c>
      <c r="AB47" s="538"/>
      <c r="AC47" s="518"/>
      <c r="AD47" s="36" t="s">
        <v>617</v>
      </c>
      <c r="AE47" s="36" t="s">
        <v>591</v>
      </c>
      <c r="AF47" s="179">
        <f>0.6*2500</f>
        <v>1500</v>
      </c>
      <c r="AG47" s="671">
        <f t="shared" ref="AG47" si="27">Y47-AB47-AC47-AF47-AF48-AF49</f>
        <v>60466.400000000001</v>
      </c>
      <c r="AH47" s="684"/>
    </row>
    <row r="48" spans="1:34" ht="24.95" customHeight="1" x14ac:dyDescent="0.2">
      <c r="A48" s="493"/>
      <c r="B48" s="495"/>
      <c r="C48" s="615"/>
      <c r="D48" s="495"/>
      <c r="E48" s="410"/>
      <c r="F48" s="411"/>
      <c r="G48" s="411"/>
      <c r="H48" s="410"/>
      <c r="I48" s="412"/>
      <c r="J48" s="412"/>
      <c r="K48" s="412"/>
      <c r="L48" s="732"/>
      <c r="M48" s="560"/>
      <c r="N48" s="736"/>
      <c r="O48" s="560"/>
      <c r="P48" s="560"/>
      <c r="Q48" s="736"/>
      <c r="R48" s="518"/>
      <c r="S48" s="518"/>
      <c r="T48" s="737"/>
      <c r="U48" s="518"/>
      <c r="V48" s="383"/>
      <c r="W48" s="29">
        <v>6584</v>
      </c>
      <c r="X48" s="518"/>
      <c r="Y48" s="722"/>
      <c r="Z48" s="29">
        <f t="shared" si="26"/>
        <v>5267.2000000000007</v>
      </c>
      <c r="AA48" s="518"/>
      <c r="AB48" s="518"/>
      <c r="AC48" s="518"/>
      <c r="AD48" s="37"/>
      <c r="AE48" s="37"/>
      <c r="AF48" s="182"/>
      <c r="AG48" s="671"/>
      <c r="AH48" s="684"/>
    </row>
    <row r="49" spans="1:36" ht="24.95" customHeight="1" x14ac:dyDescent="0.2">
      <c r="A49" s="493"/>
      <c r="B49" s="495"/>
      <c r="C49" s="615"/>
      <c r="D49" s="495"/>
      <c r="E49" s="410"/>
      <c r="F49" s="411"/>
      <c r="G49" s="411"/>
      <c r="H49" s="410"/>
      <c r="I49" s="412"/>
      <c r="J49" s="412"/>
      <c r="K49" s="412"/>
      <c r="L49" s="732"/>
      <c r="M49" s="560"/>
      <c r="N49" s="736"/>
      <c r="O49" s="560"/>
      <c r="P49" s="560"/>
      <c r="Q49" s="736"/>
      <c r="R49" s="518"/>
      <c r="S49" s="518"/>
      <c r="T49" s="737"/>
      <c r="U49" s="518"/>
      <c r="V49" s="383"/>
      <c r="W49" s="29">
        <v>0</v>
      </c>
      <c r="X49" s="518"/>
      <c r="Y49" s="722"/>
      <c r="Z49" s="29">
        <f t="shared" si="26"/>
        <v>0</v>
      </c>
      <c r="AA49" s="518"/>
      <c r="AB49" s="518"/>
      <c r="AC49" s="518"/>
      <c r="AD49" s="37"/>
      <c r="AE49" s="37"/>
      <c r="AF49" s="182"/>
      <c r="AG49" s="671"/>
      <c r="AH49" s="684"/>
    </row>
    <row r="50" spans="1:36" ht="24.95" customHeight="1" x14ac:dyDescent="0.2">
      <c r="A50" s="493">
        <v>11</v>
      </c>
      <c r="B50" s="495" t="s">
        <v>561</v>
      </c>
      <c r="C50" s="615">
        <v>2021.8</v>
      </c>
      <c r="D50" s="495" t="s">
        <v>571</v>
      </c>
      <c r="E50" s="410" t="s">
        <v>222</v>
      </c>
      <c r="F50" s="411" t="s">
        <v>271</v>
      </c>
      <c r="G50" s="411"/>
      <c r="H50" s="410"/>
      <c r="I50" s="412"/>
      <c r="J50" s="412" t="s">
        <v>32</v>
      </c>
      <c r="K50" s="412" t="s">
        <v>32</v>
      </c>
      <c r="L50" s="732">
        <v>76680.25</v>
      </c>
      <c r="M50" s="736"/>
      <c r="N50" s="736"/>
      <c r="O50" s="560">
        <v>75913</v>
      </c>
      <c r="P50" s="736"/>
      <c r="Q50" s="736"/>
      <c r="R50" s="518">
        <f>O50</f>
        <v>75913</v>
      </c>
      <c r="S50" s="737"/>
      <c r="T50" s="737"/>
      <c r="U50" s="518">
        <f t="shared" ref="U50" si="28">SUM(R50:T52)</f>
        <v>75913</v>
      </c>
      <c r="V50" s="383">
        <f>U50</f>
        <v>75913</v>
      </c>
      <c r="W50" s="29">
        <v>0</v>
      </c>
      <c r="X50" s="518">
        <f>V50-W50-W51-W52</f>
        <v>75913</v>
      </c>
      <c r="Y50" s="722">
        <f>V50*0.8</f>
        <v>60730.400000000001</v>
      </c>
      <c r="Z50" s="29">
        <f t="shared" si="26"/>
        <v>0</v>
      </c>
      <c r="AA50" s="518">
        <f>Y50-Z50-Z51-Z52</f>
        <v>60730.400000000001</v>
      </c>
      <c r="AB50" s="538"/>
      <c r="AC50" s="518"/>
      <c r="AD50" s="36"/>
      <c r="AE50" s="36"/>
      <c r="AF50" s="179"/>
      <c r="AG50" s="671">
        <f t="shared" ref="AG50" si="29">Y50-AB50-AC50-AF50-AF51-AF52</f>
        <v>60730.400000000001</v>
      </c>
      <c r="AH50" s="684"/>
    </row>
    <row r="51" spans="1:36" ht="24.95" customHeight="1" x14ac:dyDescent="0.2">
      <c r="A51" s="493"/>
      <c r="B51" s="495"/>
      <c r="C51" s="615"/>
      <c r="D51" s="495"/>
      <c r="E51" s="410"/>
      <c r="F51" s="411"/>
      <c r="G51" s="411"/>
      <c r="H51" s="410"/>
      <c r="I51" s="412"/>
      <c r="J51" s="412"/>
      <c r="K51" s="412"/>
      <c r="L51" s="732"/>
      <c r="M51" s="736"/>
      <c r="N51" s="736"/>
      <c r="O51" s="560"/>
      <c r="P51" s="736"/>
      <c r="Q51" s="736"/>
      <c r="R51" s="518"/>
      <c r="S51" s="737"/>
      <c r="T51" s="737"/>
      <c r="U51" s="518"/>
      <c r="V51" s="383"/>
      <c r="W51" s="29">
        <v>0</v>
      </c>
      <c r="X51" s="518"/>
      <c r="Y51" s="722"/>
      <c r="Z51" s="29">
        <f t="shared" si="26"/>
        <v>0</v>
      </c>
      <c r="AA51" s="518"/>
      <c r="AB51" s="518"/>
      <c r="AC51" s="518"/>
      <c r="AD51" s="36"/>
      <c r="AE51" s="36"/>
      <c r="AF51" s="179"/>
      <c r="AG51" s="671"/>
      <c r="AH51" s="684"/>
    </row>
    <row r="52" spans="1:36" ht="24.95" customHeight="1" x14ac:dyDescent="0.2">
      <c r="A52" s="493"/>
      <c r="B52" s="495"/>
      <c r="C52" s="615"/>
      <c r="D52" s="495"/>
      <c r="E52" s="410"/>
      <c r="F52" s="411"/>
      <c r="G52" s="411"/>
      <c r="H52" s="410"/>
      <c r="I52" s="412"/>
      <c r="J52" s="412"/>
      <c r="K52" s="412"/>
      <c r="L52" s="732"/>
      <c r="M52" s="736"/>
      <c r="N52" s="736"/>
      <c r="O52" s="560"/>
      <c r="P52" s="736"/>
      <c r="Q52" s="736"/>
      <c r="R52" s="518"/>
      <c r="S52" s="737"/>
      <c r="T52" s="737"/>
      <c r="U52" s="518"/>
      <c r="V52" s="383"/>
      <c r="W52" s="29">
        <v>0</v>
      </c>
      <c r="X52" s="518"/>
      <c r="Y52" s="722"/>
      <c r="Z52" s="29">
        <f t="shared" si="26"/>
        <v>0</v>
      </c>
      <c r="AA52" s="518"/>
      <c r="AB52" s="518"/>
      <c r="AC52" s="518"/>
      <c r="AD52" s="36"/>
      <c r="AE52" s="36"/>
      <c r="AF52" s="179"/>
      <c r="AG52" s="671"/>
      <c r="AH52" s="684"/>
    </row>
    <row r="53" spans="1:36" ht="24.95" customHeight="1" x14ac:dyDescent="0.2">
      <c r="A53" s="493">
        <v>12</v>
      </c>
      <c r="B53" s="495" t="s">
        <v>272</v>
      </c>
      <c r="C53" s="615">
        <v>2021.9</v>
      </c>
      <c r="D53" s="495" t="s">
        <v>645</v>
      </c>
      <c r="E53" s="410" t="s">
        <v>222</v>
      </c>
      <c r="F53" s="411" t="s">
        <v>273</v>
      </c>
      <c r="G53" s="411"/>
      <c r="H53" s="410"/>
      <c r="I53" s="412"/>
      <c r="J53" s="412" t="s">
        <v>33</v>
      </c>
      <c r="K53" s="412" t="s">
        <v>231</v>
      </c>
      <c r="L53" s="560">
        <v>247348</v>
      </c>
      <c r="M53" s="560">
        <v>43650</v>
      </c>
      <c r="N53" s="736"/>
      <c r="O53" s="560">
        <v>248408.99</v>
      </c>
      <c r="P53" s="560">
        <v>43836.88</v>
      </c>
      <c r="Q53" s="736"/>
      <c r="R53" s="518">
        <f>285178.04-S53</f>
        <v>242218.03999999998</v>
      </c>
      <c r="S53" s="518">
        <f>INT(P53*0.98)</f>
        <v>42960</v>
      </c>
      <c r="T53" s="737"/>
      <c r="U53" s="518">
        <f t="shared" ref="U53" si="30">SUM(R53:T55)</f>
        <v>285178.03999999998</v>
      </c>
      <c r="V53" s="383">
        <f>U53</f>
        <v>285178.03999999998</v>
      </c>
      <c r="W53" s="29">
        <v>229120</v>
      </c>
      <c r="X53" s="518">
        <f>V53-W53-W54-W55</f>
        <v>-2.1827872842550278E-11</v>
      </c>
      <c r="Y53" s="722">
        <f>V53*0.8</f>
        <v>228142.432</v>
      </c>
      <c r="Z53" s="29">
        <f>W53*0.8</f>
        <v>183296</v>
      </c>
      <c r="AA53" s="518">
        <f>Y53-Z53-Z54-Z55</f>
        <v>0</v>
      </c>
      <c r="AB53" s="538"/>
      <c r="AC53" s="518"/>
      <c r="AD53" s="36"/>
      <c r="AE53" s="36"/>
      <c r="AF53" s="179"/>
      <c r="AG53" s="671">
        <f t="shared" ref="AG53" si="31">Y53-AB53-AC53-AF53-AF54-AF55</f>
        <v>228142.432</v>
      </c>
      <c r="AH53" s="684"/>
    </row>
    <row r="54" spans="1:36" ht="24.95" customHeight="1" x14ac:dyDescent="0.2">
      <c r="A54" s="493"/>
      <c r="B54" s="495"/>
      <c r="C54" s="615"/>
      <c r="D54" s="495"/>
      <c r="E54" s="410"/>
      <c r="F54" s="411"/>
      <c r="G54" s="411"/>
      <c r="H54" s="410"/>
      <c r="I54" s="412"/>
      <c r="J54" s="412"/>
      <c r="K54" s="412"/>
      <c r="L54" s="560"/>
      <c r="M54" s="560"/>
      <c r="N54" s="736"/>
      <c r="O54" s="560"/>
      <c r="P54" s="560"/>
      <c r="Q54" s="736"/>
      <c r="R54" s="518"/>
      <c r="S54" s="518"/>
      <c r="T54" s="737"/>
      <c r="U54" s="518"/>
      <c r="V54" s="383"/>
      <c r="W54" s="29">
        <v>56058.04</v>
      </c>
      <c r="X54" s="518"/>
      <c r="Y54" s="722"/>
      <c r="Z54" s="29">
        <f t="shared" ref="Z54:Z62" si="32">W54*0.8</f>
        <v>44846.432000000001</v>
      </c>
      <c r="AA54" s="518"/>
      <c r="AB54" s="518"/>
      <c r="AC54" s="518"/>
      <c r="AD54" s="36"/>
      <c r="AE54" s="36"/>
      <c r="AF54" s="179"/>
      <c r="AG54" s="671"/>
      <c r="AH54" s="684"/>
    </row>
    <row r="55" spans="1:36" ht="24.95" customHeight="1" x14ac:dyDescent="0.2">
      <c r="A55" s="493"/>
      <c r="B55" s="495"/>
      <c r="C55" s="615"/>
      <c r="D55" s="495"/>
      <c r="E55" s="410"/>
      <c r="F55" s="411"/>
      <c r="G55" s="411"/>
      <c r="H55" s="410"/>
      <c r="I55" s="412"/>
      <c r="J55" s="412"/>
      <c r="K55" s="412"/>
      <c r="L55" s="560"/>
      <c r="M55" s="560"/>
      <c r="N55" s="736"/>
      <c r="O55" s="560"/>
      <c r="P55" s="560"/>
      <c r="Q55" s="736"/>
      <c r="R55" s="518"/>
      <c r="S55" s="518"/>
      <c r="T55" s="737"/>
      <c r="U55" s="518"/>
      <c r="V55" s="383"/>
      <c r="W55" s="29">
        <v>0</v>
      </c>
      <c r="X55" s="518"/>
      <c r="Y55" s="722"/>
      <c r="Z55" s="29">
        <f t="shared" si="32"/>
        <v>0</v>
      </c>
      <c r="AA55" s="518"/>
      <c r="AB55" s="518"/>
      <c r="AC55" s="518"/>
      <c r="AD55" s="36"/>
      <c r="AE55" s="36"/>
      <c r="AF55" s="179"/>
      <c r="AG55" s="671"/>
      <c r="AH55" s="684"/>
    </row>
    <row r="56" spans="1:36" s="2" customFormat="1" ht="24.95" customHeight="1" x14ac:dyDescent="0.2">
      <c r="A56" s="493">
        <v>13</v>
      </c>
      <c r="B56" s="495" t="s">
        <v>853</v>
      </c>
      <c r="C56" s="615">
        <v>2021.9</v>
      </c>
      <c r="D56" s="495"/>
      <c r="E56" s="410" t="s">
        <v>222</v>
      </c>
      <c r="F56" s="411" t="s">
        <v>556</v>
      </c>
      <c r="G56" s="411"/>
      <c r="H56" s="410"/>
      <c r="I56" s="412"/>
      <c r="J56" s="412" t="s">
        <v>231</v>
      </c>
      <c r="K56" s="412" t="s">
        <v>231</v>
      </c>
      <c r="L56" s="732">
        <v>19397.349999999999</v>
      </c>
      <c r="M56" s="736"/>
      <c r="N56" s="736"/>
      <c r="O56" s="560">
        <f>L56</f>
        <v>19397.349999999999</v>
      </c>
      <c r="P56" s="736"/>
      <c r="Q56" s="736"/>
      <c r="R56" s="518">
        <f>O56</f>
        <v>19397.349999999999</v>
      </c>
      <c r="S56" s="736"/>
      <c r="T56" s="736"/>
      <c r="U56" s="518">
        <f t="shared" ref="U56" si="33">SUM(R56:T58)</f>
        <v>19397.349999999999</v>
      </c>
      <c r="V56" s="383">
        <f>U56</f>
        <v>19397.349999999999</v>
      </c>
      <c r="W56" s="29">
        <v>0</v>
      </c>
      <c r="X56" s="518">
        <f>V56-W56-W57-W58</f>
        <v>19397.349999999999</v>
      </c>
      <c r="Y56" s="722">
        <v>18400</v>
      </c>
      <c r="Z56" s="29">
        <v>18400</v>
      </c>
      <c r="AA56" s="518">
        <f>Y56-Z56-Z57-Z58</f>
        <v>0</v>
      </c>
      <c r="AB56" s="538"/>
      <c r="AC56" s="518"/>
      <c r="AD56" s="36"/>
      <c r="AE56" s="36"/>
      <c r="AF56" s="179"/>
      <c r="AG56" s="671">
        <f t="shared" ref="AG56" si="34">Y56-AB56-AC56-AF56-AF57-AF58</f>
        <v>18400</v>
      </c>
      <c r="AH56" s="684" t="s">
        <v>557</v>
      </c>
      <c r="AI56" s="252"/>
      <c r="AJ56" s="252"/>
    </row>
    <row r="57" spans="1:36" s="2" customFormat="1" ht="24.95" customHeight="1" x14ac:dyDescent="0.2">
      <c r="A57" s="493"/>
      <c r="B57" s="495"/>
      <c r="C57" s="615"/>
      <c r="D57" s="495"/>
      <c r="E57" s="410"/>
      <c r="F57" s="411"/>
      <c r="G57" s="411"/>
      <c r="H57" s="410"/>
      <c r="I57" s="412"/>
      <c r="J57" s="412"/>
      <c r="K57" s="412"/>
      <c r="L57" s="732"/>
      <c r="M57" s="736"/>
      <c r="N57" s="736"/>
      <c r="O57" s="560"/>
      <c r="P57" s="736"/>
      <c r="Q57" s="736"/>
      <c r="R57" s="518"/>
      <c r="S57" s="736"/>
      <c r="T57" s="736"/>
      <c r="U57" s="518"/>
      <c r="V57" s="383"/>
      <c r="W57" s="29">
        <v>0</v>
      </c>
      <c r="X57" s="518"/>
      <c r="Y57" s="722"/>
      <c r="Z57" s="29">
        <f t="shared" si="32"/>
        <v>0</v>
      </c>
      <c r="AA57" s="518"/>
      <c r="AB57" s="518"/>
      <c r="AC57" s="518"/>
      <c r="AD57" s="36"/>
      <c r="AE57" s="36"/>
      <c r="AF57" s="179"/>
      <c r="AG57" s="671"/>
      <c r="AH57" s="684"/>
      <c r="AI57" s="252"/>
      <c r="AJ57" s="252"/>
    </row>
    <row r="58" spans="1:36" ht="24.95" customHeight="1" x14ac:dyDescent="0.2">
      <c r="A58" s="493"/>
      <c r="B58" s="495"/>
      <c r="C58" s="615"/>
      <c r="D58" s="495"/>
      <c r="E58" s="410"/>
      <c r="F58" s="411"/>
      <c r="G58" s="411"/>
      <c r="H58" s="410"/>
      <c r="I58" s="412"/>
      <c r="J58" s="412"/>
      <c r="K58" s="412"/>
      <c r="L58" s="732"/>
      <c r="M58" s="736"/>
      <c r="N58" s="736"/>
      <c r="O58" s="560"/>
      <c r="P58" s="736"/>
      <c r="Q58" s="736"/>
      <c r="R58" s="518"/>
      <c r="S58" s="736"/>
      <c r="T58" s="736"/>
      <c r="U58" s="518"/>
      <c r="V58" s="383"/>
      <c r="W58" s="29">
        <v>0</v>
      </c>
      <c r="X58" s="518"/>
      <c r="Y58" s="722"/>
      <c r="Z58" s="29">
        <f t="shared" si="32"/>
        <v>0</v>
      </c>
      <c r="AA58" s="518"/>
      <c r="AB58" s="518"/>
      <c r="AC58" s="518"/>
      <c r="AD58" s="36"/>
      <c r="AE58" s="36"/>
      <c r="AF58" s="179"/>
      <c r="AG58" s="671"/>
      <c r="AH58" s="684"/>
    </row>
    <row r="59" spans="1:36" s="2" customFormat="1" ht="24.95" customHeight="1" x14ac:dyDescent="0.2">
      <c r="A59" s="493">
        <v>14</v>
      </c>
      <c r="B59" s="495" t="s">
        <v>643</v>
      </c>
      <c r="C59" s="750">
        <v>2021.1</v>
      </c>
      <c r="D59" s="495" t="s">
        <v>644</v>
      </c>
      <c r="E59" s="410" t="s">
        <v>222</v>
      </c>
      <c r="F59" s="411" t="s">
        <v>880</v>
      </c>
      <c r="G59" s="411"/>
      <c r="H59" s="410"/>
      <c r="I59" s="412"/>
      <c r="J59" s="412" t="s">
        <v>33</v>
      </c>
      <c r="K59" s="412" t="s">
        <v>33</v>
      </c>
      <c r="L59" s="732">
        <v>2730000</v>
      </c>
      <c r="M59" s="560">
        <v>238000</v>
      </c>
      <c r="N59" s="560">
        <v>12000</v>
      </c>
      <c r="O59" s="732">
        <v>2730000</v>
      </c>
      <c r="P59" s="560">
        <v>238000</v>
      </c>
      <c r="Q59" s="560">
        <v>12000</v>
      </c>
      <c r="R59" s="518">
        <f>O59</f>
        <v>2730000</v>
      </c>
      <c r="S59" s="518">
        <f>P59</f>
        <v>238000</v>
      </c>
      <c r="T59" s="518">
        <f>Q59</f>
        <v>12000</v>
      </c>
      <c r="U59" s="518">
        <f t="shared" ref="U59" si="35">SUM(R59:T62)</f>
        <v>2980000</v>
      </c>
      <c r="V59" s="383">
        <f>U59</f>
        <v>2980000</v>
      </c>
      <c r="W59" s="29">
        <v>596000</v>
      </c>
      <c r="X59" s="518">
        <f>V59-W59-W61-W62</f>
        <v>2384000</v>
      </c>
      <c r="Y59" s="722">
        <f>V59*0.8</f>
        <v>2384000</v>
      </c>
      <c r="Z59" s="29">
        <f t="shared" si="32"/>
        <v>476800</v>
      </c>
      <c r="AA59" s="518">
        <f>Y59-Z59-Z61-Z62</f>
        <v>1907200</v>
      </c>
      <c r="AB59" s="538"/>
      <c r="AC59" s="737"/>
      <c r="AD59" s="36" t="s">
        <v>558</v>
      </c>
      <c r="AE59" s="36" t="s">
        <v>559</v>
      </c>
      <c r="AF59" s="179">
        <v>850000</v>
      </c>
      <c r="AG59" s="671">
        <f t="shared" ref="AG59" si="36">Y59-AB59-AC59-AF59-AF61-AF62</f>
        <v>1343600</v>
      </c>
      <c r="AH59" s="684"/>
      <c r="AI59" s="252"/>
      <c r="AJ59" s="252"/>
    </row>
    <row r="60" spans="1:36" s="2" customFormat="1" ht="24.95" customHeight="1" x14ac:dyDescent="0.2">
      <c r="A60" s="493"/>
      <c r="B60" s="495"/>
      <c r="C60" s="750"/>
      <c r="D60" s="495"/>
      <c r="E60" s="410"/>
      <c r="F60" s="411"/>
      <c r="G60" s="411"/>
      <c r="H60" s="410"/>
      <c r="I60" s="412"/>
      <c r="J60" s="412"/>
      <c r="K60" s="412"/>
      <c r="L60" s="732"/>
      <c r="M60" s="560"/>
      <c r="N60" s="560"/>
      <c r="O60" s="732"/>
      <c r="P60" s="560"/>
      <c r="Q60" s="560"/>
      <c r="R60" s="518"/>
      <c r="S60" s="518"/>
      <c r="T60" s="518"/>
      <c r="U60" s="518"/>
      <c r="V60" s="383"/>
      <c r="W60" s="29">
        <v>0</v>
      </c>
      <c r="X60" s="518"/>
      <c r="Y60" s="722"/>
      <c r="Z60" s="29">
        <f t="shared" si="32"/>
        <v>0</v>
      </c>
      <c r="AA60" s="518"/>
      <c r="AB60" s="538"/>
      <c r="AC60" s="737"/>
      <c r="AD60" s="36" t="s">
        <v>617</v>
      </c>
      <c r="AE60" s="36" t="s">
        <v>591</v>
      </c>
      <c r="AF60" s="179">
        <v>12000</v>
      </c>
      <c r="AG60" s="671"/>
      <c r="AH60" s="684"/>
      <c r="AI60" s="252"/>
      <c r="AJ60" s="252"/>
    </row>
    <row r="61" spans="1:36" s="2" customFormat="1" ht="24.95" customHeight="1" x14ac:dyDescent="0.2">
      <c r="A61" s="493"/>
      <c r="B61" s="495"/>
      <c r="C61" s="615"/>
      <c r="D61" s="495"/>
      <c r="E61" s="410"/>
      <c r="F61" s="411"/>
      <c r="G61" s="411"/>
      <c r="H61" s="410"/>
      <c r="I61" s="412"/>
      <c r="J61" s="412"/>
      <c r="K61" s="412"/>
      <c r="L61" s="732"/>
      <c r="M61" s="560"/>
      <c r="N61" s="560"/>
      <c r="O61" s="732"/>
      <c r="P61" s="560"/>
      <c r="Q61" s="560"/>
      <c r="R61" s="518"/>
      <c r="S61" s="518"/>
      <c r="T61" s="518"/>
      <c r="U61" s="518"/>
      <c r="V61" s="383"/>
      <c r="W61" s="29">
        <v>0</v>
      </c>
      <c r="X61" s="518"/>
      <c r="Y61" s="722"/>
      <c r="Z61" s="29">
        <f t="shared" si="32"/>
        <v>0</v>
      </c>
      <c r="AA61" s="518"/>
      <c r="AB61" s="518"/>
      <c r="AC61" s="737"/>
      <c r="AD61" s="36" t="s">
        <v>590</v>
      </c>
      <c r="AE61" s="36" t="s">
        <v>640</v>
      </c>
      <c r="AF61" s="179">
        <f>238000*0.8</f>
        <v>190400</v>
      </c>
      <c r="AG61" s="671"/>
      <c r="AH61" s="684"/>
      <c r="AI61" s="252"/>
      <c r="AJ61" s="252"/>
    </row>
    <row r="62" spans="1:36" ht="24.95" customHeight="1" thickBot="1" x14ac:dyDescent="0.25">
      <c r="A62" s="533"/>
      <c r="B62" s="520"/>
      <c r="C62" s="612"/>
      <c r="D62" s="520"/>
      <c r="E62" s="620"/>
      <c r="F62" s="362"/>
      <c r="G62" s="362"/>
      <c r="H62" s="620"/>
      <c r="I62" s="469"/>
      <c r="J62" s="469"/>
      <c r="K62" s="469"/>
      <c r="L62" s="732"/>
      <c r="M62" s="560"/>
      <c r="N62" s="560"/>
      <c r="O62" s="732"/>
      <c r="P62" s="560"/>
      <c r="Q62" s="560"/>
      <c r="R62" s="518"/>
      <c r="S62" s="518"/>
      <c r="T62" s="518"/>
      <c r="U62" s="518"/>
      <c r="V62" s="383"/>
      <c r="W62" s="29">
        <v>0</v>
      </c>
      <c r="X62" s="518"/>
      <c r="Y62" s="722"/>
      <c r="Z62" s="29">
        <f t="shared" si="32"/>
        <v>0</v>
      </c>
      <c r="AA62" s="518"/>
      <c r="AB62" s="518"/>
      <c r="AC62" s="761"/>
      <c r="AD62" s="36"/>
      <c r="AE62" s="36"/>
      <c r="AF62" s="179"/>
      <c r="AG62" s="671"/>
      <c r="AH62" s="684"/>
    </row>
    <row r="63" spans="1:36" ht="24.95" customHeight="1" thickBot="1" x14ac:dyDescent="0.25">
      <c r="A63" s="539" t="s">
        <v>224</v>
      </c>
      <c r="B63" s="540"/>
      <c r="C63" s="540"/>
      <c r="D63" s="540"/>
      <c r="E63" s="540"/>
      <c r="F63" s="540"/>
      <c r="G63" s="540"/>
      <c r="H63" s="540"/>
      <c r="I63" s="540"/>
      <c r="J63" s="540"/>
      <c r="K63" s="744"/>
      <c r="L63" s="265">
        <f t="shared" ref="L63:AB63" si="37">SUM(L5:L62)</f>
        <v>4718546.8</v>
      </c>
      <c r="M63" s="258">
        <f t="shared" si="37"/>
        <v>329073</v>
      </c>
      <c r="N63" s="258">
        <f t="shared" si="37"/>
        <v>12000</v>
      </c>
      <c r="O63" s="258">
        <f t="shared" si="37"/>
        <v>4615953.04</v>
      </c>
      <c r="P63" s="258">
        <f t="shared" si="37"/>
        <v>328775.38</v>
      </c>
      <c r="Q63" s="258">
        <f t="shared" si="37"/>
        <v>12000</v>
      </c>
      <c r="R63" s="258">
        <f t="shared" si="37"/>
        <v>4609762.09</v>
      </c>
      <c r="S63" s="258">
        <f t="shared" si="37"/>
        <v>327898.5</v>
      </c>
      <c r="T63" s="258">
        <f t="shared" si="37"/>
        <v>12000</v>
      </c>
      <c r="U63" s="258">
        <f t="shared" si="37"/>
        <v>4949660.59</v>
      </c>
      <c r="V63" s="198">
        <f t="shared" si="37"/>
        <v>4949660.59</v>
      </c>
      <c r="W63" s="258">
        <f t="shared" si="37"/>
        <v>2250842.04</v>
      </c>
      <c r="X63" s="258">
        <f t="shared" si="37"/>
        <v>2698818.55</v>
      </c>
      <c r="Y63" s="198">
        <f t="shared" si="37"/>
        <v>4006859.892</v>
      </c>
      <c r="Z63" s="258">
        <f t="shared" si="37"/>
        <v>1817704.8319999999</v>
      </c>
      <c r="AA63" s="258">
        <f t="shared" si="37"/>
        <v>2189155.06</v>
      </c>
      <c r="AB63" s="258">
        <f t="shared" si="37"/>
        <v>122969.68</v>
      </c>
      <c r="AC63" s="258">
        <f>SUM(AC5:AC7)</f>
        <v>0</v>
      </c>
      <c r="AD63" s="266"/>
      <c r="AE63" s="266"/>
      <c r="AF63" s="267">
        <f>SUM(AF5:AF62)</f>
        <v>1160693.75</v>
      </c>
      <c r="AG63" s="198">
        <f>SUM(AG5:AG7)</f>
        <v>135475.20000000001</v>
      </c>
      <c r="AH63" s="260"/>
    </row>
    <row r="64" spans="1:36" ht="24.95" customHeight="1" x14ac:dyDescent="0.2">
      <c r="A64" s="745" t="s">
        <v>208</v>
      </c>
      <c r="B64" s="745"/>
      <c r="C64" s="745"/>
      <c r="D64" s="745"/>
      <c r="E64" s="745"/>
      <c r="F64" s="745"/>
      <c r="G64" s="745"/>
      <c r="H64" s="745"/>
      <c r="I64" s="745"/>
      <c r="J64" s="745"/>
      <c r="K64" s="745"/>
      <c r="L64" s="46"/>
      <c r="M64" s="46"/>
      <c r="N64" s="46"/>
      <c r="O64" s="46"/>
      <c r="P64" s="46"/>
      <c r="Q64" s="46"/>
      <c r="R64" s="46"/>
      <c r="S64" s="46"/>
      <c r="T64" s="46"/>
      <c r="U64" s="46"/>
      <c r="V64" s="152"/>
      <c r="W64" s="46"/>
      <c r="X64" s="46"/>
      <c r="Y64" s="159"/>
      <c r="Z64" s="46"/>
      <c r="AA64" s="46"/>
      <c r="AB64" s="46"/>
      <c r="AC64" s="46"/>
      <c r="AD64" s="51"/>
      <c r="AE64" s="51"/>
      <c r="AF64" s="180"/>
      <c r="AG64" s="156"/>
      <c r="AH64" s="53"/>
    </row>
  </sheetData>
  <mergeCells count="588">
    <mergeCell ref="AI2:AI4"/>
    <mergeCell ref="AG59:AG62"/>
    <mergeCell ref="AH2:AH4"/>
    <mergeCell ref="AH5:AH7"/>
    <mergeCell ref="AH8:AH10"/>
    <mergeCell ref="AH11:AH13"/>
    <mergeCell ref="AH14:AH15"/>
    <mergeCell ref="AH16:AH17"/>
    <mergeCell ref="AH18:AH20"/>
    <mergeCell ref="AH21:AH23"/>
    <mergeCell ref="AH24:AH25"/>
    <mergeCell ref="AH26:AH28"/>
    <mergeCell ref="AH29:AH31"/>
    <mergeCell ref="AH35:AH37"/>
    <mergeCell ref="AH38:AH40"/>
    <mergeCell ref="AH41:AH43"/>
    <mergeCell ref="AH44:AH46"/>
    <mergeCell ref="AH47:AH49"/>
    <mergeCell ref="AH50:AH52"/>
    <mergeCell ref="AH53:AH55"/>
    <mergeCell ref="AH56:AH58"/>
    <mergeCell ref="AH59:AH62"/>
    <mergeCell ref="AG29:AG31"/>
    <mergeCell ref="AG35:AG37"/>
    <mergeCell ref="AG38:AG40"/>
    <mergeCell ref="AG41:AG43"/>
    <mergeCell ref="AG44:AG46"/>
    <mergeCell ref="AG47:AG49"/>
    <mergeCell ref="AG50:AG52"/>
    <mergeCell ref="AG53:AG55"/>
    <mergeCell ref="AG56:AG58"/>
    <mergeCell ref="AG5:AG7"/>
    <mergeCell ref="AG11:AG13"/>
    <mergeCell ref="AG14:AG15"/>
    <mergeCell ref="AG16:AG17"/>
    <mergeCell ref="AG18:AG20"/>
    <mergeCell ref="AG21:AG23"/>
    <mergeCell ref="AG24:AG25"/>
    <mergeCell ref="AG26:AG28"/>
    <mergeCell ref="AG8:AG10"/>
    <mergeCell ref="AB59:AB62"/>
    <mergeCell ref="AC5:AC7"/>
    <mergeCell ref="AC11:AC13"/>
    <mergeCell ref="AC14:AC15"/>
    <mergeCell ref="AC16:AC17"/>
    <mergeCell ref="AC18:AC20"/>
    <mergeCell ref="AC21:AC23"/>
    <mergeCell ref="AC24:AC25"/>
    <mergeCell ref="AC26:AC28"/>
    <mergeCell ref="AC29:AC31"/>
    <mergeCell ref="AC35:AC37"/>
    <mergeCell ref="AC38:AC40"/>
    <mergeCell ref="AC41:AC43"/>
    <mergeCell ref="AC44:AC46"/>
    <mergeCell ref="AC47:AC49"/>
    <mergeCell ref="AC50:AC52"/>
    <mergeCell ref="AC53:AC55"/>
    <mergeCell ref="AC56:AC58"/>
    <mergeCell ref="AC59:AC62"/>
    <mergeCell ref="AB29:AB31"/>
    <mergeCell ref="AB35:AB37"/>
    <mergeCell ref="AB38:AB40"/>
    <mergeCell ref="AB41:AB43"/>
    <mergeCell ref="AB44:AB46"/>
    <mergeCell ref="AB47:AB49"/>
    <mergeCell ref="AB50:AB52"/>
    <mergeCell ref="AB53:AB55"/>
    <mergeCell ref="AB56:AB58"/>
    <mergeCell ref="AB5:AB7"/>
    <mergeCell ref="AB11:AB13"/>
    <mergeCell ref="AB14:AB15"/>
    <mergeCell ref="AB16:AB17"/>
    <mergeCell ref="AB18:AB20"/>
    <mergeCell ref="AB21:AB23"/>
    <mergeCell ref="AB24:AB25"/>
    <mergeCell ref="AB26:AB28"/>
    <mergeCell ref="AB8:AB10"/>
    <mergeCell ref="Y59:Y62"/>
    <mergeCell ref="AA5:AA7"/>
    <mergeCell ref="AA11:AA13"/>
    <mergeCell ref="AA14:AA15"/>
    <mergeCell ref="AA16:AA17"/>
    <mergeCell ref="AA18:AA20"/>
    <mergeCell ref="AA21:AA23"/>
    <mergeCell ref="AA24:AA25"/>
    <mergeCell ref="AA26:AA28"/>
    <mergeCell ref="AA29:AA31"/>
    <mergeCell ref="AA35:AA37"/>
    <mergeCell ref="AA38:AA40"/>
    <mergeCell ref="AA41:AA43"/>
    <mergeCell ref="AA44:AA46"/>
    <mergeCell ref="AA47:AA49"/>
    <mergeCell ref="AA50:AA52"/>
    <mergeCell ref="AA53:AA55"/>
    <mergeCell ref="AA56:AA58"/>
    <mergeCell ref="AA59:AA62"/>
    <mergeCell ref="Y29:Y31"/>
    <mergeCell ref="Y35:Y37"/>
    <mergeCell ref="Y38:Y40"/>
    <mergeCell ref="Y41:Y43"/>
    <mergeCell ref="Y44:Y46"/>
    <mergeCell ref="Y47:Y49"/>
    <mergeCell ref="Y50:Y52"/>
    <mergeCell ref="Y53:Y55"/>
    <mergeCell ref="Y56:Y58"/>
    <mergeCell ref="Y5:Y7"/>
    <mergeCell ref="Y11:Y13"/>
    <mergeCell ref="Y14:Y15"/>
    <mergeCell ref="Y16:Y17"/>
    <mergeCell ref="Y18:Y20"/>
    <mergeCell ref="Y21:Y23"/>
    <mergeCell ref="Y24:Y25"/>
    <mergeCell ref="Y26:Y28"/>
    <mergeCell ref="Y32:Y34"/>
    <mergeCell ref="Y8:Y10"/>
    <mergeCell ref="V59:V62"/>
    <mergeCell ref="X5:X7"/>
    <mergeCell ref="X11:X13"/>
    <mergeCell ref="X14:X15"/>
    <mergeCell ref="X16:X17"/>
    <mergeCell ref="X18:X20"/>
    <mergeCell ref="X21:X23"/>
    <mergeCell ref="X24:X25"/>
    <mergeCell ref="X26:X28"/>
    <mergeCell ref="X29:X31"/>
    <mergeCell ref="X35:X37"/>
    <mergeCell ref="X38:X40"/>
    <mergeCell ref="X41:X43"/>
    <mergeCell ref="X44:X46"/>
    <mergeCell ref="X47:X49"/>
    <mergeCell ref="X50:X52"/>
    <mergeCell ref="X53:X55"/>
    <mergeCell ref="X56:X58"/>
    <mergeCell ref="X59:X62"/>
    <mergeCell ref="V29:V31"/>
    <mergeCell ref="V35:V37"/>
    <mergeCell ref="V38:V40"/>
    <mergeCell ref="V41:V43"/>
    <mergeCell ref="V44:V46"/>
    <mergeCell ref="V47:V49"/>
    <mergeCell ref="V50:V52"/>
    <mergeCell ref="V53:V55"/>
    <mergeCell ref="V56:V58"/>
    <mergeCell ref="V5:V7"/>
    <mergeCell ref="V11:V13"/>
    <mergeCell ref="V14:V15"/>
    <mergeCell ref="V16:V17"/>
    <mergeCell ref="V18:V20"/>
    <mergeCell ref="V21:V23"/>
    <mergeCell ref="V24:V25"/>
    <mergeCell ref="V26:V28"/>
    <mergeCell ref="V32:V34"/>
    <mergeCell ref="V8:V10"/>
    <mergeCell ref="T59:T62"/>
    <mergeCell ref="U5:U7"/>
    <mergeCell ref="U11:U13"/>
    <mergeCell ref="U14:U15"/>
    <mergeCell ref="U16:U17"/>
    <mergeCell ref="U18:U20"/>
    <mergeCell ref="U21:U23"/>
    <mergeCell ref="U24:U25"/>
    <mergeCell ref="U26:U28"/>
    <mergeCell ref="U29:U31"/>
    <mergeCell ref="U35:U37"/>
    <mergeCell ref="U38:U40"/>
    <mergeCell ref="U41:U43"/>
    <mergeCell ref="U44:U46"/>
    <mergeCell ref="U47:U49"/>
    <mergeCell ref="U50:U52"/>
    <mergeCell ref="U53:U55"/>
    <mergeCell ref="U56:U58"/>
    <mergeCell ref="U59:U62"/>
    <mergeCell ref="T29:T31"/>
    <mergeCell ref="T35:T37"/>
    <mergeCell ref="T38:T40"/>
    <mergeCell ref="T41:T43"/>
    <mergeCell ref="T44:T46"/>
    <mergeCell ref="T47:T49"/>
    <mergeCell ref="T50:T52"/>
    <mergeCell ref="T53:T55"/>
    <mergeCell ref="T56:T58"/>
    <mergeCell ref="T5:T7"/>
    <mergeCell ref="T8:T10"/>
    <mergeCell ref="T11:T13"/>
    <mergeCell ref="T14:T15"/>
    <mergeCell ref="T16:T17"/>
    <mergeCell ref="T18:T20"/>
    <mergeCell ref="T21:T23"/>
    <mergeCell ref="T24:T25"/>
    <mergeCell ref="T26:T28"/>
    <mergeCell ref="R59:R62"/>
    <mergeCell ref="S5:S7"/>
    <mergeCell ref="S8:S10"/>
    <mergeCell ref="S11:S13"/>
    <mergeCell ref="S14:S15"/>
    <mergeCell ref="S16:S17"/>
    <mergeCell ref="S18:S20"/>
    <mergeCell ref="S21:S23"/>
    <mergeCell ref="S24:S25"/>
    <mergeCell ref="S26:S28"/>
    <mergeCell ref="S29:S31"/>
    <mergeCell ref="S35:S37"/>
    <mergeCell ref="S38:S40"/>
    <mergeCell ref="S41:S43"/>
    <mergeCell ref="S44:S46"/>
    <mergeCell ref="S47:S49"/>
    <mergeCell ref="S50:S52"/>
    <mergeCell ref="S53:S55"/>
    <mergeCell ref="S56:S58"/>
    <mergeCell ref="S59:S62"/>
    <mergeCell ref="R29:R31"/>
    <mergeCell ref="R35:R37"/>
    <mergeCell ref="R38:R40"/>
    <mergeCell ref="R41:R43"/>
    <mergeCell ref="R44:R46"/>
    <mergeCell ref="R47:R49"/>
    <mergeCell ref="R50:R52"/>
    <mergeCell ref="R53:R55"/>
    <mergeCell ref="R56:R58"/>
    <mergeCell ref="R5:R7"/>
    <mergeCell ref="R11:R13"/>
    <mergeCell ref="R14:R15"/>
    <mergeCell ref="R16:R17"/>
    <mergeCell ref="R18:R20"/>
    <mergeCell ref="R21:R23"/>
    <mergeCell ref="R24:R25"/>
    <mergeCell ref="R26:R28"/>
    <mergeCell ref="R8:R10"/>
    <mergeCell ref="P59:P62"/>
    <mergeCell ref="Q3:Q4"/>
    <mergeCell ref="Q5:Q7"/>
    <mergeCell ref="Q8:Q10"/>
    <mergeCell ref="Q11:Q13"/>
    <mergeCell ref="Q14:Q15"/>
    <mergeCell ref="Q16:Q17"/>
    <mergeCell ref="Q18:Q20"/>
    <mergeCell ref="Q21:Q23"/>
    <mergeCell ref="Q24:Q25"/>
    <mergeCell ref="Q26:Q28"/>
    <mergeCell ref="Q29:Q31"/>
    <mergeCell ref="Q35:Q37"/>
    <mergeCell ref="Q38:Q40"/>
    <mergeCell ref="Q41:Q43"/>
    <mergeCell ref="Q44:Q46"/>
    <mergeCell ref="Q47:Q49"/>
    <mergeCell ref="Q50:Q52"/>
    <mergeCell ref="Q53:Q55"/>
    <mergeCell ref="Q56:Q58"/>
    <mergeCell ref="Q59:Q62"/>
    <mergeCell ref="P29:P31"/>
    <mergeCell ref="P35:P37"/>
    <mergeCell ref="P38:P40"/>
    <mergeCell ref="P41:P43"/>
    <mergeCell ref="P44:P46"/>
    <mergeCell ref="P47:P49"/>
    <mergeCell ref="P50:P52"/>
    <mergeCell ref="P53:P55"/>
    <mergeCell ref="P56:P58"/>
    <mergeCell ref="P5:P7"/>
    <mergeCell ref="P8:P10"/>
    <mergeCell ref="P11:P13"/>
    <mergeCell ref="P14:P15"/>
    <mergeCell ref="P16:P17"/>
    <mergeCell ref="P18:P20"/>
    <mergeCell ref="P21:P23"/>
    <mergeCell ref="P24:P25"/>
    <mergeCell ref="P26:P28"/>
    <mergeCell ref="N59:N62"/>
    <mergeCell ref="O3:O4"/>
    <mergeCell ref="O5:O7"/>
    <mergeCell ref="O11:O13"/>
    <mergeCell ref="O14:O15"/>
    <mergeCell ref="O16:O17"/>
    <mergeCell ref="O18:O20"/>
    <mergeCell ref="O21:O23"/>
    <mergeCell ref="O24:O25"/>
    <mergeCell ref="O26:O28"/>
    <mergeCell ref="O29:O31"/>
    <mergeCell ref="O35:O37"/>
    <mergeCell ref="O38:O40"/>
    <mergeCell ref="O41:O43"/>
    <mergeCell ref="O44:O46"/>
    <mergeCell ref="O47:O49"/>
    <mergeCell ref="O50:O52"/>
    <mergeCell ref="O53:O55"/>
    <mergeCell ref="O56:O58"/>
    <mergeCell ref="O59:O62"/>
    <mergeCell ref="N29:N31"/>
    <mergeCell ref="N35:N37"/>
    <mergeCell ref="N38:N40"/>
    <mergeCell ref="N41:N43"/>
    <mergeCell ref="N44:N46"/>
    <mergeCell ref="N47:N49"/>
    <mergeCell ref="N50:N52"/>
    <mergeCell ref="N53:N55"/>
    <mergeCell ref="N56:N58"/>
    <mergeCell ref="N5:N7"/>
    <mergeCell ref="N8:N10"/>
    <mergeCell ref="N11:N13"/>
    <mergeCell ref="N14:N15"/>
    <mergeCell ref="N16:N17"/>
    <mergeCell ref="N18:N20"/>
    <mergeCell ref="N21:N23"/>
    <mergeCell ref="N24:N25"/>
    <mergeCell ref="N26:N28"/>
    <mergeCell ref="L59:L62"/>
    <mergeCell ref="M3:M4"/>
    <mergeCell ref="M5:M7"/>
    <mergeCell ref="M8:M10"/>
    <mergeCell ref="M11:M13"/>
    <mergeCell ref="M14:M15"/>
    <mergeCell ref="M16:M17"/>
    <mergeCell ref="M18:M20"/>
    <mergeCell ref="M21:M23"/>
    <mergeCell ref="M24:M25"/>
    <mergeCell ref="M26:M28"/>
    <mergeCell ref="M29:M31"/>
    <mergeCell ref="M35:M37"/>
    <mergeCell ref="M38:M40"/>
    <mergeCell ref="M41:M43"/>
    <mergeCell ref="M44:M46"/>
    <mergeCell ref="M47:M49"/>
    <mergeCell ref="M50:M52"/>
    <mergeCell ref="M53:M55"/>
    <mergeCell ref="M56:M58"/>
    <mergeCell ref="M59:M62"/>
    <mergeCell ref="L29:L31"/>
    <mergeCell ref="L35:L37"/>
    <mergeCell ref="L38:L40"/>
    <mergeCell ref="L41:L43"/>
    <mergeCell ref="L44:L46"/>
    <mergeCell ref="L47:L49"/>
    <mergeCell ref="L50:L52"/>
    <mergeCell ref="L53:L55"/>
    <mergeCell ref="L56:L58"/>
    <mergeCell ref="L5:L7"/>
    <mergeCell ref="L11:L13"/>
    <mergeCell ref="L14:L15"/>
    <mergeCell ref="L16:L17"/>
    <mergeCell ref="L18:L20"/>
    <mergeCell ref="L21:L23"/>
    <mergeCell ref="L24:L25"/>
    <mergeCell ref="L26:L28"/>
    <mergeCell ref="L8:L10"/>
    <mergeCell ref="K35:K37"/>
    <mergeCell ref="K38:K40"/>
    <mergeCell ref="K41:K43"/>
    <mergeCell ref="K44:K46"/>
    <mergeCell ref="K47:K49"/>
    <mergeCell ref="K50:K52"/>
    <mergeCell ref="K53:K55"/>
    <mergeCell ref="K56:K58"/>
    <mergeCell ref="K59:K62"/>
    <mergeCell ref="K5:K7"/>
    <mergeCell ref="K8:K10"/>
    <mergeCell ref="K11:K13"/>
    <mergeCell ref="K14:K17"/>
    <mergeCell ref="K18:K20"/>
    <mergeCell ref="K21:K23"/>
    <mergeCell ref="K24:K25"/>
    <mergeCell ref="K26:K28"/>
    <mergeCell ref="K29:K31"/>
    <mergeCell ref="J35:J37"/>
    <mergeCell ref="J38:J40"/>
    <mergeCell ref="J41:J43"/>
    <mergeCell ref="J44:J46"/>
    <mergeCell ref="J47:J49"/>
    <mergeCell ref="J50:J52"/>
    <mergeCell ref="J53:J55"/>
    <mergeCell ref="J56:J58"/>
    <mergeCell ref="J59:J62"/>
    <mergeCell ref="J5:J7"/>
    <mergeCell ref="J8:J10"/>
    <mergeCell ref="J11:J13"/>
    <mergeCell ref="J14:J17"/>
    <mergeCell ref="J18:J20"/>
    <mergeCell ref="J21:J23"/>
    <mergeCell ref="J24:J25"/>
    <mergeCell ref="J26:J28"/>
    <mergeCell ref="J29:J31"/>
    <mergeCell ref="I35:I37"/>
    <mergeCell ref="I38:I40"/>
    <mergeCell ref="I41:I43"/>
    <mergeCell ref="I44:I46"/>
    <mergeCell ref="I47:I49"/>
    <mergeCell ref="I50:I52"/>
    <mergeCell ref="I53:I55"/>
    <mergeCell ref="I56:I58"/>
    <mergeCell ref="I59:I62"/>
    <mergeCell ref="I5:I7"/>
    <mergeCell ref="I8:I10"/>
    <mergeCell ref="I11:I13"/>
    <mergeCell ref="I14:I17"/>
    <mergeCell ref="I18:I20"/>
    <mergeCell ref="I21:I23"/>
    <mergeCell ref="I24:I25"/>
    <mergeCell ref="I26:I28"/>
    <mergeCell ref="I29:I31"/>
    <mergeCell ref="H35:H37"/>
    <mergeCell ref="H38:H40"/>
    <mergeCell ref="H41:H43"/>
    <mergeCell ref="H44:H46"/>
    <mergeCell ref="H47:H49"/>
    <mergeCell ref="H50:H52"/>
    <mergeCell ref="H53:H55"/>
    <mergeCell ref="H56:H58"/>
    <mergeCell ref="H59:H62"/>
    <mergeCell ref="H5:H7"/>
    <mergeCell ref="H8:H10"/>
    <mergeCell ref="H11:H13"/>
    <mergeCell ref="H14:H17"/>
    <mergeCell ref="H18:H20"/>
    <mergeCell ref="H21:H23"/>
    <mergeCell ref="H24:H25"/>
    <mergeCell ref="H26:H28"/>
    <mergeCell ref="H29:H31"/>
    <mergeCell ref="G44:G46"/>
    <mergeCell ref="G47:G49"/>
    <mergeCell ref="G50:G52"/>
    <mergeCell ref="G53:G55"/>
    <mergeCell ref="G56:G58"/>
    <mergeCell ref="G59:G62"/>
    <mergeCell ref="G26:G43"/>
    <mergeCell ref="G5:G7"/>
    <mergeCell ref="G8:G10"/>
    <mergeCell ref="G11:G13"/>
    <mergeCell ref="G14:G17"/>
    <mergeCell ref="G18:G20"/>
    <mergeCell ref="G21:G23"/>
    <mergeCell ref="G24:G25"/>
    <mergeCell ref="E56:E58"/>
    <mergeCell ref="E59:E62"/>
    <mergeCell ref="F5:F7"/>
    <mergeCell ref="F8:F10"/>
    <mergeCell ref="F11:F13"/>
    <mergeCell ref="F14:F17"/>
    <mergeCell ref="F18:F20"/>
    <mergeCell ref="F21:F23"/>
    <mergeCell ref="F24:F25"/>
    <mergeCell ref="F26:F28"/>
    <mergeCell ref="F29:F31"/>
    <mergeCell ref="F35:F37"/>
    <mergeCell ref="F38:F40"/>
    <mergeCell ref="F41:F43"/>
    <mergeCell ref="F44:F46"/>
    <mergeCell ref="F47:F49"/>
    <mergeCell ref="F50:F52"/>
    <mergeCell ref="F53:F55"/>
    <mergeCell ref="F56:F58"/>
    <mergeCell ref="F59:F62"/>
    <mergeCell ref="E32:E34"/>
    <mergeCell ref="D8:D10"/>
    <mergeCell ref="E35:E37"/>
    <mergeCell ref="E38:E40"/>
    <mergeCell ref="E41:E43"/>
    <mergeCell ref="E44:E46"/>
    <mergeCell ref="E47:E49"/>
    <mergeCell ref="E50:E52"/>
    <mergeCell ref="E53:E55"/>
    <mergeCell ref="E5:E7"/>
    <mergeCell ref="E8:E10"/>
    <mergeCell ref="E11:E13"/>
    <mergeCell ref="E14:E17"/>
    <mergeCell ref="E18:E20"/>
    <mergeCell ref="E21:E23"/>
    <mergeCell ref="E24:E25"/>
    <mergeCell ref="E26:E28"/>
    <mergeCell ref="E29:E31"/>
    <mergeCell ref="C53:C55"/>
    <mergeCell ref="C56:C58"/>
    <mergeCell ref="C59:C62"/>
    <mergeCell ref="D3:D4"/>
    <mergeCell ref="D5:D7"/>
    <mergeCell ref="D11:D13"/>
    <mergeCell ref="D14:D15"/>
    <mergeCell ref="D16:D17"/>
    <mergeCell ref="D18:D20"/>
    <mergeCell ref="D21:D23"/>
    <mergeCell ref="D24:D25"/>
    <mergeCell ref="D26:D28"/>
    <mergeCell ref="D29:D31"/>
    <mergeCell ref="D35:D37"/>
    <mergeCell ref="D38:D40"/>
    <mergeCell ref="D41:D43"/>
    <mergeCell ref="D44:D46"/>
    <mergeCell ref="D47:D49"/>
    <mergeCell ref="D50:D52"/>
    <mergeCell ref="D53:D55"/>
    <mergeCell ref="D56:D58"/>
    <mergeCell ref="D59:D62"/>
    <mergeCell ref="C32:C34"/>
    <mergeCell ref="D32:D34"/>
    <mergeCell ref="B21:B23"/>
    <mergeCell ref="B26:B43"/>
    <mergeCell ref="B44:B46"/>
    <mergeCell ref="B47:B49"/>
    <mergeCell ref="B50:B52"/>
    <mergeCell ref="B53:B55"/>
    <mergeCell ref="B56:B58"/>
    <mergeCell ref="B59:B62"/>
    <mergeCell ref="C3:C4"/>
    <mergeCell ref="C5:C7"/>
    <mergeCell ref="C8:C10"/>
    <mergeCell ref="C11:C13"/>
    <mergeCell ref="C14:C17"/>
    <mergeCell ref="C18:C20"/>
    <mergeCell ref="C21:C23"/>
    <mergeCell ref="C24:C25"/>
    <mergeCell ref="C26:C28"/>
    <mergeCell ref="C29:C31"/>
    <mergeCell ref="C35:C37"/>
    <mergeCell ref="C38:C40"/>
    <mergeCell ref="C41:C43"/>
    <mergeCell ref="C44:C46"/>
    <mergeCell ref="C47:C49"/>
    <mergeCell ref="C50:C52"/>
    <mergeCell ref="B24:B25"/>
    <mergeCell ref="A63:K63"/>
    <mergeCell ref="A64:K64"/>
    <mergeCell ref="A2:A4"/>
    <mergeCell ref="A5:A7"/>
    <mergeCell ref="A8:A10"/>
    <mergeCell ref="A11:A13"/>
    <mergeCell ref="A14:A17"/>
    <mergeCell ref="A18:A20"/>
    <mergeCell ref="A21:A23"/>
    <mergeCell ref="A24:A25"/>
    <mergeCell ref="A26:A43"/>
    <mergeCell ref="A44:A46"/>
    <mergeCell ref="A47:A49"/>
    <mergeCell ref="A50:A52"/>
    <mergeCell ref="A53:A55"/>
    <mergeCell ref="A56:A58"/>
    <mergeCell ref="A59:A62"/>
    <mergeCell ref="B3:B4"/>
    <mergeCell ref="B5:B7"/>
    <mergeCell ref="B8:B10"/>
    <mergeCell ref="B11:B13"/>
    <mergeCell ref="B14:B17"/>
    <mergeCell ref="B18:B20"/>
    <mergeCell ref="A1:AH1"/>
    <mergeCell ref="B2:F2"/>
    <mergeCell ref="G2:K2"/>
    <mergeCell ref="L2:N2"/>
    <mergeCell ref="O2:Q2"/>
    <mergeCell ref="R2:X2"/>
    <mergeCell ref="Y2:AG2"/>
    <mergeCell ref="R3:U3"/>
    <mergeCell ref="V3:X3"/>
    <mergeCell ref="Y3:AA3"/>
    <mergeCell ref="AB3:AF3"/>
    <mergeCell ref="E3:E4"/>
    <mergeCell ref="F3:F4"/>
    <mergeCell ref="G3:G4"/>
    <mergeCell ref="H3:H4"/>
    <mergeCell ref="I3:I4"/>
    <mergeCell ref="J3:J4"/>
    <mergeCell ref="K3:K4"/>
    <mergeCell ref="L3:L4"/>
    <mergeCell ref="N3:N4"/>
    <mergeCell ref="P3:P4"/>
    <mergeCell ref="AG3:AG4"/>
    <mergeCell ref="AH32:AH34"/>
    <mergeCell ref="M32:M34"/>
    <mergeCell ref="N32:N34"/>
    <mergeCell ref="O32:O34"/>
    <mergeCell ref="P32:P34"/>
    <mergeCell ref="Q32:Q34"/>
    <mergeCell ref="R32:R34"/>
    <mergeCell ref="S32:S34"/>
    <mergeCell ref="T32:T34"/>
    <mergeCell ref="U32:U34"/>
    <mergeCell ref="X32:X34"/>
    <mergeCell ref="AG32:AG34"/>
    <mergeCell ref="AC32:AC34"/>
    <mergeCell ref="AC8:AC10"/>
    <mergeCell ref="F32:F34"/>
    <mergeCell ref="H32:H34"/>
    <mergeCell ref="I32:I34"/>
    <mergeCell ref="J32:J34"/>
    <mergeCell ref="K32:K34"/>
    <mergeCell ref="L32:L34"/>
    <mergeCell ref="AA32:AA34"/>
    <mergeCell ref="AB32:AB34"/>
    <mergeCell ref="U8:U10"/>
    <mergeCell ref="AA8:AA10"/>
    <mergeCell ref="X8:X10"/>
    <mergeCell ref="O8:O10"/>
  </mergeCells>
  <phoneticPr fontId="37" type="noConversion"/>
  <conditionalFormatting sqref="R5:R9 R11:R62">
    <cfRule type="cellIs" dxfId="20" priority="2" operator="between">
      <formula>1000000</formula>
      <formula>2000000</formula>
    </cfRule>
    <cfRule type="cellIs" dxfId="19" priority="3" operator="greaterThan">
      <formula>2000000</formula>
    </cfRule>
  </conditionalFormatting>
  <conditionalFormatting sqref="X5:X9 X11:X62">
    <cfRule type="cellIs" dxfId="18" priority="1" operator="greaterThan">
      <formula>0</formula>
    </cfRule>
    <cfRule type="cellIs" dxfId="17" priority="6" operator="greaterThan">
      <formula>0</formula>
    </cfRule>
  </conditionalFormatting>
  <printOptions horizontalCentered="1"/>
  <pageMargins left="0.43307086614173201" right="0.39370078740157499" top="0.39370078740157499" bottom="0.39370078740157499" header="0.196850393700787" footer="0.23622047244094499"/>
  <pageSetup paperSize="8" fitToWidth="0"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42"/>
  <sheetViews>
    <sheetView zoomScale="85" zoomScaleNormal="85" workbookViewId="0">
      <pane xSplit="6" ySplit="4" topLeftCell="R20" activePane="bottomRight" state="frozen"/>
      <selection pane="topRight"/>
      <selection pane="bottomLeft"/>
      <selection pane="bottomRight" activeCell="D5" sqref="D5:D7"/>
    </sheetView>
  </sheetViews>
  <sheetFormatPr defaultColWidth="9.140625" defaultRowHeight="24.95" customHeight="1" x14ac:dyDescent="0.2"/>
  <cols>
    <col min="1" max="1" width="3.7109375" style="1" customWidth="1"/>
    <col min="2" max="2" width="50.7109375" style="298" customWidth="1"/>
    <col min="3" max="3" width="8.28515625" style="3" customWidth="1"/>
    <col min="4" max="4" width="25.7109375" style="3" customWidth="1"/>
    <col min="5" max="5" width="10.7109375" style="3" customWidth="1"/>
    <col min="6" max="7" width="15.7109375" style="3" customWidth="1"/>
    <col min="8" max="8" width="8.28515625" style="3" customWidth="1"/>
    <col min="9" max="9" width="10.7109375" style="4" customWidth="1"/>
    <col min="10" max="11" width="8.28515625" style="4" customWidth="1"/>
    <col min="12" max="21" width="15.7109375" style="5" customWidth="1"/>
    <col min="22" max="22" width="15.7109375" style="153" customWidth="1"/>
    <col min="23" max="24" width="15.7109375" style="5" customWidth="1"/>
    <col min="25" max="25" width="15.7109375" style="160" customWidth="1"/>
    <col min="26" max="29" width="15.7109375" style="5" customWidth="1"/>
    <col min="30" max="31" width="10.7109375" style="8" customWidth="1"/>
    <col min="32" max="32" width="15.7109375" style="181" customWidth="1"/>
    <col min="33" max="33" width="15.7109375" style="157" customWidth="1"/>
    <col min="34" max="34" width="20.7109375" style="3" customWidth="1"/>
    <col min="35" max="35" width="20.7109375" style="1" customWidth="1"/>
    <col min="36" max="36" width="9.140625" style="1"/>
    <col min="37" max="37" width="12.85546875" style="1" customWidth="1"/>
    <col min="38" max="16384" width="9.140625" style="1"/>
  </cols>
  <sheetData>
    <row r="1" spans="1:35" ht="30" customHeight="1" x14ac:dyDescent="0.2">
      <c r="A1" s="585" t="s">
        <v>1078</v>
      </c>
      <c r="B1" s="586"/>
      <c r="C1" s="586"/>
      <c r="D1" s="586"/>
      <c r="E1" s="586"/>
      <c r="F1" s="586"/>
      <c r="G1" s="586"/>
      <c r="H1" s="586"/>
      <c r="I1" s="586"/>
      <c r="J1" s="586"/>
      <c r="K1" s="586"/>
      <c r="L1" s="586"/>
      <c r="M1" s="586"/>
      <c r="N1" s="586"/>
      <c r="O1" s="586"/>
      <c r="P1" s="586"/>
      <c r="Q1" s="586"/>
      <c r="R1" s="586"/>
      <c r="S1" s="586"/>
      <c r="T1" s="586"/>
      <c r="U1" s="586"/>
      <c r="V1" s="586"/>
      <c r="W1" s="586"/>
      <c r="X1" s="586"/>
      <c r="Y1" s="586"/>
      <c r="Z1" s="586"/>
      <c r="AA1" s="586"/>
      <c r="AB1" s="586"/>
      <c r="AC1" s="586"/>
      <c r="AD1" s="586"/>
      <c r="AE1" s="586"/>
      <c r="AF1" s="586"/>
      <c r="AG1" s="586"/>
      <c r="AH1" s="586"/>
    </row>
    <row r="2" spans="1:35" ht="24.95" customHeight="1" x14ac:dyDescent="0.2">
      <c r="A2" s="530" t="s">
        <v>1</v>
      </c>
      <c r="B2" s="446" t="s">
        <v>2</v>
      </c>
      <c r="C2" s="446"/>
      <c r="D2" s="446"/>
      <c r="E2" s="446"/>
      <c r="F2" s="446"/>
      <c r="G2" s="587" t="s">
        <v>210</v>
      </c>
      <c r="H2" s="588"/>
      <c r="I2" s="588"/>
      <c r="J2" s="588"/>
      <c r="K2" s="589"/>
      <c r="L2" s="405" t="s">
        <v>652</v>
      </c>
      <c r="M2" s="405"/>
      <c r="N2" s="405"/>
      <c r="O2" s="405" t="s">
        <v>4</v>
      </c>
      <c r="P2" s="405"/>
      <c r="Q2" s="405"/>
      <c r="R2" s="590" t="s">
        <v>3</v>
      </c>
      <c r="S2" s="590"/>
      <c r="T2" s="590"/>
      <c r="U2" s="590"/>
      <c r="V2" s="590"/>
      <c r="W2" s="590"/>
      <c r="X2" s="591"/>
      <c r="Y2" s="592" t="s">
        <v>212</v>
      </c>
      <c r="Z2" s="593"/>
      <c r="AA2" s="593"/>
      <c r="AB2" s="593"/>
      <c r="AC2" s="593"/>
      <c r="AD2" s="593"/>
      <c r="AE2" s="593"/>
      <c r="AF2" s="593"/>
      <c r="AG2" s="594"/>
      <c r="AH2" s="606" t="s">
        <v>8</v>
      </c>
      <c r="AI2" s="528"/>
    </row>
    <row r="3" spans="1:35" ht="24.95" customHeight="1" x14ac:dyDescent="0.2">
      <c r="A3" s="456"/>
      <c r="B3" s="532" t="s">
        <v>9</v>
      </c>
      <c r="C3" s="427" t="s">
        <v>213</v>
      </c>
      <c r="D3" s="427" t="s">
        <v>10</v>
      </c>
      <c r="E3" s="427" t="s">
        <v>214</v>
      </c>
      <c r="F3" s="427" t="s">
        <v>11</v>
      </c>
      <c r="G3" s="427" t="s">
        <v>12</v>
      </c>
      <c r="H3" s="427" t="s">
        <v>13</v>
      </c>
      <c r="I3" s="429" t="s">
        <v>14</v>
      </c>
      <c r="J3" s="466" t="s">
        <v>15</v>
      </c>
      <c r="K3" s="466" t="s">
        <v>16</v>
      </c>
      <c r="L3" s="407" t="s">
        <v>17</v>
      </c>
      <c r="M3" s="407" t="s">
        <v>18</v>
      </c>
      <c r="N3" s="407" t="s">
        <v>215</v>
      </c>
      <c r="O3" s="407" t="s">
        <v>17</v>
      </c>
      <c r="P3" s="407" t="s">
        <v>18</v>
      </c>
      <c r="Q3" s="407" t="s">
        <v>215</v>
      </c>
      <c r="R3" s="595" t="s">
        <v>216</v>
      </c>
      <c r="S3" s="595"/>
      <c r="T3" s="595"/>
      <c r="U3" s="595"/>
      <c r="V3" s="738" t="s">
        <v>5</v>
      </c>
      <c r="W3" s="739"/>
      <c r="X3" s="740"/>
      <c r="Y3" s="741" t="s">
        <v>217</v>
      </c>
      <c r="Z3" s="742"/>
      <c r="AA3" s="743"/>
      <c r="AB3" s="600" t="s">
        <v>6</v>
      </c>
      <c r="AC3" s="598"/>
      <c r="AD3" s="598"/>
      <c r="AE3" s="598"/>
      <c r="AF3" s="598"/>
      <c r="AG3" s="604" t="s">
        <v>7</v>
      </c>
      <c r="AH3" s="607"/>
      <c r="AI3" s="528"/>
    </row>
    <row r="4" spans="1:35" ht="24.95" customHeight="1" thickBot="1" x14ac:dyDescent="0.25">
      <c r="A4" s="457"/>
      <c r="B4" s="601"/>
      <c r="C4" s="428"/>
      <c r="D4" s="428"/>
      <c r="E4" s="428"/>
      <c r="F4" s="418"/>
      <c r="G4" s="428"/>
      <c r="H4" s="428"/>
      <c r="I4" s="430"/>
      <c r="J4" s="467"/>
      <c r="K4" s="467"/>
      <c r="L4" s="408"/>
      <c r="M4" s="699"/>
      <c r="N4" s="699"/>
      <c r="O4" s="699"/>
      <c r="P4" s="699"/>
      <c r="Q4" s="699"/>
      <c r="R4" s="27" t="s">
        <v>17</v>
      </c>
      <c r="S4" s="27" t="s">
        <v>18</v>
      </c>
      <c r="T4" s="27" t="s">
        <v>215</v>
      </c>
      <c r="U4" s="27" t="s">
        <v>218</v>
      </c>
      <c r="V4" s="148" t="s">
        <v>219</v>
      </c>
      <c r="W4" s="27" t="s">
        <v>19</v>
      </c>
      <c r="X4" s="27" t="s">
        <v>20</v>
      </c>
      <c r="Y4" s="149" t="s">
        <v>220</v>
      </c>
      <c r="Z4" s="33" t="s">
        <v>221</v>
      </c>
      <c r="AA4" s="33" t="s">
        <v>20</v>
      </c>
      <c r="AB4" s="33" t="s">
        <v>24</v>
      </c>
      <c r="AC4" s="33" t="s">
        <v>25</v>
      </c>
      <c r="AD4" s="34" t="s">
        <v>21</v>
      </c>
      <c r="AE4" s="34" t="s">
        <v>22</v>
      </c>
      <c r="AF4" s="33" t="s">
        <v>23</v>
      </c>
      <c r="AG4" s="723"/>
      <c r="AH4" s="608"/>
      <c r="AI4" s="528"/>
    </row>
    <row r="5" spans="1:35" ht="24.95" customHeight="1" x14ac:dyDescent="0.2">
      <c r="A5" s="746">
        <v>1</v>
      </c>
      <c r="B5" s="747" t="s">
        <v>565</v>
      </c>
      <c r="C5" s="753">
        <v>2022.3</v>
      </c>
      <c r="D5" s="754"/>
      <c r="E5" s="753" t="s">
        <v>222</v>
      </c>
      <c r="F5" s="754" t="s">
        <v>563</v>
      </c>
      <c r="G5" s="754" t="s">
        <v>582</v>
      </c>
      <c r="H5" s="753" t="s">
        <v>583</v>
      </c>
      <c r="I5" s="712" t="s">
        <v>584</v>
      </c>
      <c r="J5" s="712" t="s">
        <v>585</v>
      </c>
      <c r="K5" s="712" t="s">
        <v>585</v>
      </c>
      <c r="L5" s="757">
        <v>13090.26</v>
      </c>
      <c r="M5" s="759"/>
      <c r="N5" s="759"/>
      <c r="O5" s="760">
        <v>13090.26</v>
      </c>
      <c r="P5" s="759"/>
      <c r="Q5" s="759"/>
      <c r="R5" s="718">
        <v>13090.26</v>
      </c>
      <c r="S5" s="759"/>
      <c r="T5" s="759"/>
      <c r="U5" s="718">
        <f>SUM(R5:T7)</f>
        <v>13090.26</v>
      </c>
      <c r="V5" s="719">
        <f>U5</f>
        <v>13090.26</v>
      </c>
      <c r="W5" s="28">
        <v>13090.26</v>
      </c>
      <c r="X5" s="718">
        <f>V5-W5-W6-W7</f>
        <v>0</v>
      </c>
      <c r="Y5" s="721">
        <f>V5*0.8</f>
        <v>10472.208000000001</v>
      </c>
      <c r="Z5" s="28"/>
      <c r="AA5" s="718">
        <f>Y5-Z5-Z6-Z7</f>
        <v>10472.208000000001</v>
      </c>
      <c r="AB5" s="718"/>
      <c r="AC5" s="718"/>
      <c r="AD5" s="60"/>
      <c r="AE5" s="60"/>
      <c r="AF5" s="312"/>
      <c r="AG5" s="724">
        <f>Y5-AB5-AC5-AF5-AF6-AF7</f>
        <v>10472.208000000001</v>
      </c>
      <c r="AH5" s="683"/>
      <c r="AI5" s="43"/>
    </row>
    <row r="6" spans="1:35" ht="24.95" customHeight="1" x14ac:dyDescent="0.2">
      <c r="A6" s="493"/>
      <c r="B6" s="495"/>
      <c r="C6" s="410"/>
      <c r="D6" s="411"/>
      <c r="E6" s="410"/>
      <c r="F6" s="411"/>
      <c r="G6" s="411"/>
      <c r="H6" s="410"/>
      <c r="I6" s="412"/>
      <c r="J6" s="412"/>
      <c r="K6" s="412"/>
      <c r="L6" s="732"/>
      <c r="M6" s="736"/>
      <c r="N6" s="736"/>
      <c r="O6" s="560"/>
      <c r="P6" s="736"/>
      <c r="Q6" s="736"/>
      <c r="R6" s="518"/>
      <c r="S6" s="736"/>
      <c r="T6" s="736"/>
      <c r="U6" s="518"/>
      <c r="V6" s="383"/>
      <c r="W6" s="29">
        <v>0</v>
      </c>
      <c r="X6" s="518"/>
      <c r="Y6" s="722"/>
      <c r="Z6" s="29"/>
      <c r="AA6" s="518"/>
      <c r="AB6" s="518"/>
      <c r="AC6" s="518"/>
      <c r="AD6" s="37"/>
      <c r="AE6" s="37"/>
      <c r="AF6" s="182"/>
      <c r="AG6" s="671"/>
      <c r="AH6" s="684"/>
      <c r="AI6" s="43"/>
    </row>
    <row r="7" spans="1:35" ht="24.95" customHeight="1" x14ac:dyDescent="0.2">
      <c r="A7" s="493"/>
      <c r="B7" s="495"/>
      <c r="C7" s="410"/>
      <c r="D7" s="411"/>
      <c r="E7" s="410"/>
      <c r="F7" s="411"/>
      <c r="G7" s="362"/>
      <c r="H7" s="620"/>
      <c r="I7" s="469"/>
      <c r="J7" s="412"/>
      <c r="K7" s="412"/>
      <c r="L7" s="732"/>
      <c r="M7" s="561"/>
      <c r="N7" s="561"/>
      <c r="O7" s="560"/>
      <c r="P7" s="561"/>
      <c r="Q7" s="561"/>
      <c r="R7" s="518"/>
      <c r="S7" s="736"/>
      <c r="T7" s="736"/>
      <c r="U7" s="518"/>
      <c r="V7" s="383"/>
      <c r="W7" s="29">
        <v>0</v>
      </c>
      <c r="X7" s="518"/>
      <c r="Y7" s="722"/>
      <c r="Z7" s="29"/>
      <c r="AA7" s="518"/>
      <c r="AB7" s="518"/>
      <c r="AC7" s="518"/>
      <c r="AD7" s="37"/>
      <c r="AE7" s="37"/>
      <c r="AF7" s="182"/>
      <c r="AG7" s="671"/>
      <c r="AH7" s="684"/>
      <c r="AI7" s="43"/>
    </row>
    <row r="8" spans="1:35" ht="24.95" customHeight="1" x14ac:dyDescent="0.2">
      <c r="A8" s="493">
        <v>2</v>
      </c>
      <c r="B8" s="765" t="s">
        <v>574</v>
      </c>
      <c r="C8" s="410">
        <v>2022.4</v>
      </c>
      <c r="D8" s="411"/>
      <c r="E8" s="410" t="s">
        <v>222</v>
      </c>
      <c r="F8" s="411" t="s">
        <v>564</v>
      </c>
      <c r="G8" s="411" t="s">
        <v>575</v>
      </c>
      <c r="H8" s="410" t="s">
        <v>576</v>
      </c>
      <c r="I8" s="412" t="s">
        <v>579</v>
      </c>
      <c r="J8" s="412" t="s">
        <v>33</v>
      </c>
      <c r="K8" s="412" t="s">
        <v>33</v>
      </c>
      <c r="L8" s="736"/>
      <c r="M8" s="736"/>
      <c r="N8" s="736"/>
      <c r="O8" s="736"/>
      <c r="P8" s="736"/>
      <c r="Q8" s="736"/>
      <c r="R8" s="518">
        <v>0</v>
      </c>
      <c r="S8" s="736"/>
      <c r="T8" s="736"/>
      <c r="U8" s="518">
        <f>SUM(R8:T10)</f>
        <v>0</v>
      </c>
      <c r="V8" s="383">
        <f>U8</f>
        <v>0</v>
      </c>
      <c r="W8" s="29">
        <v>0</v>
      </c>
      <c r="X8" s="518">
        <f>V8-W8-W9-W10</f>
        <v>0</v>
      </c>
      <c r="Y8" s="722">
        <f>V8*0.8</f>
        <v>0</v>
      </c>
      <c r="Z8" s="29"/>
      <c r="AA8" s="518">
        <f>Y8-Z8-Z9-Z10</f>
        <v>0</v>
      </c>
      <c r="AB8" s="518"/>
      <c r="AC8" s="518"/>
      <c r="AD8" s="36"/>
      <c r="AE8" s="36"/>
      <c r="AF8" s="179"/>
      <c r="AG8" s="671">
        <f>Y8-AB8-AC8-AF8-AF9-AF10</f>
        <v>0</v>
      </c>
      <c r="AH8" s="684"/>
      <c r="AI8" s="43"/>
    </row>
    <row r="9" spans="1:35" ht="24.95" customHeight="1" x14ac:dyDescent="0.2">
      <c r="A9" s="493"/>
      <c r="B9" s="765"/>
      <c r="C9" s="410"/>
      <c r="D9" s="411"/>
      <c r="E9" s="410"/>
      <c r="F9" s="411"/>
      <c r="G9" s="411"/>
      <c r="H9" s="410"/>
      <c r="I9" s="412"/>
      <c r="J9" s="412"/>
      <c r="K9" s="412"/>
      <c r="L9" s="736"/>
      <c r="M9" s="736"/>
      <c r="N9" s="736"/>
      <c r="O9" s="736"/>
      <c r="P9" s="736"/>
      <c r="Q9" s="736"/>
      <c r="R9" s="518"/>
      <c r="S9" s="736"/>
      <c r="T9" s="736"/>
      <c r="U9" s="518"/>
      <c r="V9" s="383"/>
      <c r="W9" s="29">
        <v>0</v>
      </c>
      <c r="X9" s="518"/>
      <c r="Y9" s="722"/>
      <c r="Z9" s="29"/>
      <c r="AA9" s="518"/>
      <c r="AB9" s="518"/>
      <c r="AC9" s="518"/>
      <c r="AD9" s="36"/>
      <c r="AE9" s="36"/>
      <c r="AF9" s="179"/>
      <c r="AG9" s="671"/>
      <c r="AH9" s="684"/>
      <c r="AI9" s="43"/>
    </row>
    <row r="10" spans="1:35" ht="24.95" customHeight="1" x14ac:dyDescent="0.2">
      <c r="A10" s="493"/>
      <c r="B10" s="765"/>
      <c r="C10" s="410"/>
      <c r="D10" s="411"/>
      <c r="E10" s="410"/>
      <c r="F10" s="411"/>
      <c r="G10" s="411"/>
      <c r="H10" s="410"/>
      <c r="I10" s="412"/>
      <c r="J10" s="412"/>
      <c r="K10" s="412"/>
      <c r="L10" s="736"/>
      <c r="M10" s="736"/>
      <c r="N10" s="736"/>
      <c r="O10" s="736"/>
      <c r="P10" s="736"/>
      <c r="Q10" s="736"/>
      <c r="R10" s="518"/>
      <c r="S10" s="736"/>
      <c r="T10" s="736"/>
      <c r="U10" s="518"/>
      <c r="V10" s="383"/>
      <c r="W10" s="29">
        <v>0</v>
      </c>
      <c r="X10" s="518"/>
      <c r="Y10" s="722"/>
      <c r="Z10" s="29"/>
      <c r="AA10" s="518"/>
      <c r="AB10" s="518"/>
      <c r="AC10" s="518"/>
      <c r="AD10" s="36"/>
      <c r="AE10" s="36"/>
      <c r="AF10" s="179"/>
      <c r="AG10" s="671"/>
      <c r="AH10" s="684"/>
      <c r="AI10" s="43"/>
    </row>
    <row r="11" spans="1:35" ht="24.95" customHeight="1" x14ac:dyDescent="0.2">
      <c r="A11" s="493">
        <v>3</v>
      </c>
      <c r="B11" s="766" t="s">
        <v>573</v>
      </c>
      <c r="C11" s="410">
        <v>2022.4</v>
      </c>
      <c r="D11" s="770" t="s">
        <v>595</v>
      </c>
      <c r="E11" s="410" t="s">
        <v>222</v>
      </c>
      <c r="F11" s="772" t="s">
        <v>620</v>
      </c>
      <c r="G11" s="411" t="s">
        <v>586</v>
      </c>
      <c r="H11" s="410" t="s">
        <v>577</v>
      </c>
      <c r="I11" s="412" t="s">
        <v>578</v>
      </c>
      <c r="J11" s="412" t="s">
        <v>639</v>
      </c>
      <c r="K11" s="412" t="s">
        <v>32</v>
      </c>
      <c r="L11" s="763"/>
      <c r="M11" s="763"/>
      <c r="N11" s="763"/>
      <c r="O11" s="714">
        <v>134649</v>
      </c>
      <c r="P11" s="714">
        <v>23761</v>
      </c>
      <c r="Q11" s="763"/>
      <c r="R11" s="714">
        <f>O11</f>
        <v>134649</v>
      </c>
      <c r="S11" s="714">
        <f>P11</f>
        <v>23761</v>
      </c>
      <c r="T11" s="763"/>
      <c r="U11" s="536">
        <f>R11+S11</f>
        <v>158410</v>
      </c>
      <c r="V11" s="340">
        <f t="shared" ref="V11:V23" si="0">U11</f>
        <v>158410</v>
      </c>
      <c r="W11" s="29">
        <v>144945</v>
      </c>
      <c r="X11" s="536">
        <f>V11-W11-W12</f>
        <v>0</v>
      </c>
      <c r="Y11" s="661">
        <f t="shared" ref="Y11:Y23" si="1">V11*0.8</f>
        <v>126728</v>
      </c>
      <c r="Z11" s="536"/>
      <c r="AA11" s="536">
        <f>Y11-Z11-Z13-Z22</f>
        <v>-1645.6000000000058</v>
      </c>
      <c r="AB11" s="536"/>
      <c r="AC11" s="536"/>
      <c r="AD11" s="278" t="s">
        <v>617</v>
      </c>
      <c r="AE11" s="278" t="s">
        <v>591</v>
      </c>
      <c r="AF11" s="290">
        <f>5.733*2500</f>
        <v>14332.5</v>
      </c>
      <c r="AG11" s="672">
        <f>Y11-AB11-AC11-AF11-AF12</f>
        <v>110595.5</v>
      </c>
      <c r="AH11" s="684"/>
      <c r="AI11" s="43"/>
    </row>
    <row r="12" spans="1:35" ht="24.95" customHeight="1" x14ac:dyDescent="0.2">
      <c r="A12" s="493"/>
      <c r="B12" s="766"/>
      <c r="C12" s="410"/>
      <c r="D12" s="771"/>
      <c r="E12" s="410"/>
      <c r="F12" s="773"/>
      <c r="G12" s="411"/>
      <c r="H12" s="410"/>
      <c r="I12" s="412"/>
      <c r="J12" s="412"/>
      <c r="K12" s="412"/>
      <c r="L12" s="764"/>
      <c r="M12" s="764"/>
      <c r="N12" s="764"/>
      <c r="O12" s="715"/>
      <c r="P12" s="715"/>
      <c r="Q12" s="764"/>
      <c r="R12" s="715"/>
      <c r="S12" s="715"/>
      <c r="T12" s="764"/>
      <c r="U12" s="538"/>
      <c r="V12" s="341"/>
      <c r="W12" s="29">
        <v>13465</v>
      </c>
      <c r="X12" s="538"/>
      <c r="Y12" s="660"/>
      <c r="Z12" s="538"/>
      <c r="AA12" s="538"/>
      <c r="AB12" s="538"/>
      <c r="AC12" s="538"/>
      <c r="AD12" s="278" t="s">
        <v>617</v>
      </c>
      <c r="AE12" s="278" t="s">
        <v>592</v>
      </c>
      <c r="AF12" s="290">
        <f>12*150</f>
        <v>1800</v>
      </c>
      <c r="AG12" s="673"/>
      <c r="AH12" s="684"/>
      <c r="AI12" s="43"/>
    </row>
    <row r="13" spans="1:35" ht="24.95" customHeight="1" x14ac:dyDescent="0.2">
      <c r="A13" s="493"/>
      <c r="B13" s="766"/>
      <c r="C13" s="410"/>
      <c r="D13" s="362" t="s">
        <v>596</v>
      </c>
      <c r="E13" s="410"/>
      <c r="F13" s="772" t="s">
        <v>621</v>
      </c>
      <c r="G13" s="411"/>
      <c r="H13" s="410"/>
      <c r="I13" s="412"/>
      <c r="J13" s="412"/>
      <c r="K13" s="412"/>
      <c r="L13" s="763"/>
      <c r="M13" s="763"/>
      <c r="N13" s="763"/>
      <c r="O13" s="714">
        <v>149068</v>
      </c>
      <c r="P13" s="714">
        <v>26306</v>
      </c>
      <c r="Q13" s="763"/>
      <c r="R13" s="714">
        <f>O13</f>
        <v>149068</v>
      </c>
      <c r="S13" s="714">
        <f>P13</f>
        <v>26306</v>
      </c>
      <c r="T13" s="763"/>
      <c r="U13" s="536">
        <f t="shared" ref="U13" si="2">R13+S13</f>
        <v>175374</v>
      </c>
      <c r="V13" s="340">
        <f t="shared" si="0"/>
        <v>175374</v>
      </c>
      <c r="W13" s="29">
        <v>160467</v>
      </c>
      <c r="X13" s="536">
        <f t="shared" ref="X13" si="3">V13-W13-W14</f>
        <v>14907</v>
      </c>
      <c r="Y13" s="661">
        <f>U13*0.8</f>
        <v>140299.20000000001</v>
      </c>
      <c r="Z13" s="61">
        <f>W13*0.8</f>
        <v>128373.6</v>
      </c>
      <c r="AA13" s="536">
        <f>Y13-Z13-Z14</f>
        <v>11925.600000000006</v>
      </c>
      <c r="AB13" s="536"/>
      <c r="AC13" s="536"/>
      <c r="AD13" s="278" t="s">
        <v>617</v>
      </c>
      <c r="AE13" s="278" t="s">
        <v>592</v>
      </c>
      <c r="AF13" s="290">
        <f>7*150</f>
        <v>1050</v>
      </c>
      <c r="AG13" s="672">
        <f t="shared" ref="AG13" si="4">Y13-AB13-AC13-AF13-AF14</f>
        <v>139249.20000000001</v>
      </c>
      <c r="AH13" s="684"/>
      <c r="AI13" s="43"/>
    </row>
    <row r="14" spans="1:35" ht="24.95" customHeight="1" x14ac:dyDescent="0.2">
      <c r="A14" s="493"/>
      <c r="B14" s="766"/>
      <c r="C14" s="410"/>
      <c r="D14" s="364"/>
      <c r="E14" s="410"/>
      <c r="F14" s="773"/>
      <c r="G14" s="411"/>
      <c r="H14" s="410"/>
      <c r="I14" s="412"/>
      <c r="J14" s="412"/>
      <c r="K14" s="412"/>
      <c r="L14" s="764"/>
      <c r="M14" s="764"/>
      <c r="N14" s="764"/>
      <c r="O14" s="715"/>
      <c r="P14" s="715"/>
      <c r="Q14" s="764"/>
      <c r="R14" s="715"/>
      <c r="S14" s="715"/>
      <c r="T14" s="764"/>
      <c r="U14" s="538"/>
      <c r="V14" s="341"/>
      <c r="W14" s="29"/>
      <c r="X14" s="538"/>
      <c r="Y14" s="660"/>
      <c r="Z14" s="61"/>
      <c r="AA14" s="538"/>
      <c r="AB14" s="538"/>
      <c r="AC14" s="538"/>
      <c r="AD14" s="37"/>
      <c r="AE14" s="37"/>
      <c r="AF14" s="182"/>
      <c r="AG14" s="673"/>
      <c r="AH14" s="684"/>
      <c r="AI14" s="43"/>
    </row>
    <row r="15" spans="1:35" ht="24.95" customHeight="1" x14ac:dyDescent="0.2">
      <c r="A15" s="493"/>
      <c r="B15" s="766"/>
      <c r="C15" s="410"/>
      <c r="D15" s="770" t="s">
        <v>604</v>
      </c>
      <c r="E15" s="410"/>
      <c r="F15" s="772" t="s">
        <v>622</v>
      </c>
      <c r="G15" s="411"/>
      <c r="H15" s="410"/>
      <c r="I15" s="412"/>
      <c r="J15" s="412"/>
      <c r="K15" s="412"/>
      <c r="L15" s="763"/>
      <c r="M15" s="763"/>
      <c r="N15" s="763"/>
      <c r="O15" s="714">
        <f>37685+3501</f>
        <v>41186</v>
      </c>
      <c r="P15" s="763"/>
      <c r="Q15" s="763"/>
      <c r="R15" s="714">
        <f>O15</f>
        <v>41186</v>
      </c>
      <c r="S15" s="763"/>
      <c r="T15" s="763"/>
      <c r="U15" s="536">
        <f t="shared" ref="U15" si="5">R15+S15</f>
        <v>41186</v>
      </c>
      <c r="V15" s="340">
        <f t="shared" si="0"/>
        <v>41186</v>
      </c>
      <c r="W15" s="29">
        <v>37685</v>
      </c>
      <c r="X15" s="536">
        <f t="shared" ref="X15" si="6">V15-W15-W16</f>
        <v>0</v>
      </c>
      <c r="Y15" s="661">
        <v>0</v>
      </c>
      <c r="Z15" s="536"/>
      <c r="AA15" s="536">
        <v>0</v>
      </c>
      <c r="AB15" s="536"/>
      <c r="AC15" s="536"/>
      <c r="AD15" s="37"/>
      <c r="AE15" s="37"/>
      <c r="AF15" s="182"/>
      <c r="AG15" s="672">
        <f t="shared" ref="AG15" si="7">Y15-AB15-AC15-AF15-AF16</f>
        <v>0</v>
      </c>
      <c r="AH15" s="684"/>
      <c r="AI15" s="43"/>
    </row>
    <row r="16" spans="1:35" ht="24.95" customHeight="1" x14ac:dyDescent="0.2">
      <c r="A16" s="493"/>
      <c r="B16" s="766"/>
      <c r="C16" s="410"/>
      <c r="D16" s="771"/>
      <c r="E16" s="410"/>
      <c r="F16" s="773"/>
      <c r="G16" s="411"/>
      <c r="H16" s="410"/>
      <c r="I16" s="412"/>
      <c r="J16" s="412"/>
      <c r="K16" s="412"/>
      <c r="L16" s="764"/>
      <c r="M16" s="764"/>
      <c r="N16" s="764"/>
      <c r="O16" s="715"/>
      <c r="P16" s="764"/>
      <c r="Q16" s="764"/>
      <c r="R16" s="715"/>
      <c r="S16" s="764"/>
      <c r="T16" s="764"/>
      <c r="U16" s="538"/>
      <c r="V16" s="341"/>
      <c r="W16" s="29">
        <v>3501</v>
      </c>
      <c r="X16" s="538"/>
      <c r="Y16" s="660"/>
      <c r="Z16" s="538"/>
      <c r="AA16" s="538"/>
      <c r="AB16" s="538"/>
      <c r="AC16" s="538"/>
      <c r="AD16" s="37"/>
      <c r="AE16" s="37"/>
      <c r="AF16" s="182"/>
      <c r="AG16" s="673"/>
      <c r="AH16" s="684"/>
      <c r="AI16" s="43"/>
    </row>
    <row r="17" spans="1:35" ht="24.95" customHeight="1" x14ac:dyDescent="0.2">
      <c r="A17" s="493"/>
      <c r="B17" s="766"/>
      <c r="C17" s="410"/>
      <c r="D17" s="362" t="s">
        <v>877</v>
      </c>
      <c r="E17" s="410"/>
      <c r="F17" s="772" t="s">
        <v>623</v>
      </c>
      <c r="G17" s="411"/>
      <c r="H17" s="410"/>
      <c r="I17" s="412"/>
      <c r="J17" s="412"/>
      <c r="K17" s="412"/>
      <c r="L17" s="763"/>
      <c r="M17" s="763"/>
      <c r="N17" s="763"/>
      <c r="O17" s="714">
        <v>77193</v>
      </c>
      <c r="P17" s="714">
        <v>13622</v>
      </c>
      <c r="Q17" s="763"/>
      <c r="R17" s="714">
        <f>O17</f>
        <v>77193</v>
      </c>
      <c r="S17" s="714">
        <f>P17</f>
        <v>13622</v>
      </c>
      <c r="T17" s="763"/>
      <c r="U17" s="536">
        <f t="shared" ref="U17" si="8">R17+S17</f>
        <v>90815</v>
      </c>
      <c r="V17" s="340">
        <f t="shared" si="0"/>
        <v>90815</v>
      </c>
      <c r="W17" s="29">
        <v>83096</v>
      </c>
      <c r="X17" s="536">
        <f t="shared" ref="X17" si="9">V17-W17-W18</f>
        <v>0</v>
      </c>
      <c r="Y17" s="661">
        <v>0</v>
      </c>
      <c r="Z17" s="536"/>
      <c r="AA17" s="536">
        <v>0</v>
      </c>
      <c r="AB17" s="536"/>
      <c r="AC17" s="536"/>
      <c r="AD17" s="37"/>
      <c r="AE17" s="37"/>
      <c r="AF17" s="182"/>
      <c r="AG17" s="672">
        <f t="shared" ref="AG17" si="10">Y17-AB17-AC17-AF17-AF18</f>
        <v>0</v>
      </c>
      <c r="AH17" s="684"/>
      <c r="AI17" s="43"/>
    </row>
    <row r="18" spans="1:35" ht="24.95" customHeight="1" x14ac:dyDescent="0.2">
      <c r="A18" s="493"/>
      <c r="B18" s="766"/>
      <c r="C18" s="410"/>
      <c r="D18" s="364"/>
      <c r="E18" s="410"/>
      <c r="F18" s="773"/>
      <c r="G18" s="411"/>
      <c r="H18" s="410"/>
      <c r="I18" s="412"/>
      <c r="J18" s="412"/>
      <c r="K18" s="412"/>
      <c r="L18" s="764"/>
      <c r="M18" s="764"/>
      <c r="N18" s="764"/>
      <c r="O18" s="715"/>
      <c r="P18" s="715"/>
      <c r="Q18" s="764"/>
      <c r="R18" s="715"/>
      <c r="S18" s="715"/>
      <c r="T18" s="764"/>
      <c r="U18" s="538"/>
      <c r="V18" s="341"/>
      <c r="W18" s="29">
        <v>7719</v>
      </c>
      <c r="X18" s="538"/>
      <c r="Y18" s="660"/>
      <c r="Z18" s="538"/>
      <c r="AA18" s="538"/>
      <c r="AB18" s="538"/>
      <c r="AC18" s="538"/>
      <c r="AD18" s="37"/>
      <c r="AE18" s="37"/>
      <c r="AF18" s="182"/>
      <c r="AG18" s="673"/>
      <c r="AH18" s="684"/>
      <c r="AI18" s="43"/>
    </row>
    <row r="19" spans="1:35" ht="24.95" customHeight="1" x14ac:dyDescent="0.2">
      <c r="A19" s="493"/>
      <c r="B19" s="766"/>
      <c r="C19" s="410"/>
      <c r="D19" s="362" t="s">
        <v>626</v>
      </c>
      <c r="E19" s="410"/>
      <c r="F19" s="772" t="s">
        <v>624</v>
      </c>
      <c r="G19" s="411"/>
      <c r="H19" s="410"/>
      <c r="I19" s="412"/>
      <c r="J19" s="412"/>
      <c r="K19" s="412"/>
      <c r="L19" s="763"/>
      <c r="M19" s="763"/>
      <c r="N19" s="763"/>
      <c r="O19" s="714">
        <v>78637</v>
      </c>
      <c r="P19" s="714">
        <v>13877</v>
      </c>
      <c r="Q19" s="763"/>
      <c r="R19" s="714">
        <f>O19</f>
        <v>78637</v>
      </c>
      <c r="S19" s="714">
        <f>P19</f>
        <v>13877</v>
      </c>
      <c r="T19" s="763"/>
      <c r="U19" s="536">
        <f t="shared" ref="U19" si="11">R19+S19</f>
        <v>92514</v>
      </c>
      <c r="V19" s="340">
        <f t="shared" si="0"/>
        <v>92514</v>
      </c>
      <c r="W19" s="29">
        <v>84650</v>
      </c>
      <c r="X19" s="536">
        <f t="shared" ref="X19" si="12">V19-W19-W20</f>
        <v>7864</v>
      </c>
      <c r="Y19" s="661">
        <f>U19*0.8</f>
        <v>74011.199999999997</v>
      </c>
      <c r="Z19" s="61">
        <f>W19*0.8</f>
        <v>67720</v>
      </c>
      <c r="AA19" s="536">
        <f>Y19-Z19-Z20</f>
        <v>6291.1999999999971</v>
      </c>
      <c r="AB19" s="536"/>
      <c r="AC19" s="536"/>
      <c r="AD19" s="278" t="s">
        <v>617</v>
      </c>
      <c r="AE19" s="278" t="s">
        <v>591</v>
      </c>
      <c r="AF19" s="290">
        <f>1.839*2500</f>
        <v>4597.5</v>
      </c>
      <c r="AG19" s="672">
        <f t="shared" ref="AG19" si="13">Y19-AB19-AC19-AF19-AF20</f>
        <v>68813.7</v>
      </c>
      <c r="AH19" s="684"/>
      <c r="AI19" s="43"/>
    </row>
    <row r="20" spans="1:35" ht="24.95" customHeight="1" x14ac:dyDescent="0.2">
      <c r="A20" s="493"/>
      <c r="B20" s="766"/>
      <c r="C20" s="410"/>
      <c r="D20" s="364"/>
      <c r="E20" s="410"/>
      <c r="F20" s="773"/>
      <c r="G20" s="411"/>
      <c r="H20" s="410"/>
      <c r="I20" s="412"/>
      <c r="J20" s="412"/>
      <c r="K20" s="412"/>
      <c r="L20" s="764"/>
      <c r="M20" s="764"/>
      <c r="N20" s="764"/>
      <c r="O20" s="715"/>
      <c r="P20" s="715"/>
      <c r="Q20" s="764"/>
      <c r="R20" s="715"/>
      <c r="S20" s="715"/>
      <c r="T20" s="764"/>
      <c r="U20" s="538"/>
      <c r="V20" s="341"/>
      <c r="W20" s="29"/>
      <c r="X20" s="538"/>
      <c r="Y20" s="660"/>
      <c r="Z20" s="61"/>
      <c r="AA20" s="538"/>
      <c r="AB20" s="538"/>
      <c r="AC20" s="538"/>
      <c r="AD20" s="278" t="s">
        <v>617</v>
      </c>
      <c r="AE20" s="278" t="s">
        <v>592</v>
      </c>
      <c r="AF20" s="290">
        <f>4*150</f>
        <v>600</v>
      </c>
      <c r="AG20" s="673"/>
      <c r="AH20" s="684"/>
      <c r="AI20" s="43"/>
    </row>
    <row r="21" spans="1:35" ht="24.95" customHeight="1" x14ac:dyDescent="0.2">
      <c r="A21" s="493"/>
      <c r="B21" s="766"/>
      <c r="C21" s="410"/>
      <c r="D21" s="362" t="s">
        <v>627</v>
      </c>
      <c r="E21" s="410"/>
      <c r="F21" s="772" t="s">
        <v>625</v>
      </c>
      <c r="G21" s="411"/>
      <c r="H21" s="410"/>
      <c r="I21" s="412"/>
      <c r="J21" s="412"/>
      <c r="K21" s="412"/>
      <c r="L21" s="763"/>
      <c r="M21" s="763"/>
      <c r="N21" s="763"/>
      <c r="O21" s="714">
        <v>121724</v>
      </c>
      <c r="P21" s="714">
        <v>21481</v>
      </c>
      <c r="Q21" s="763"/>
      <c r="R21" s="714">
        <f>O21</f>
        <v>121724</v>
      </c>
      <c r="S21" s="714">
        <f>P21</f>
        <v>21481</v>
      </c>
      <c r="T21" s="763"/>
      <c r="U21" s="536">
        <f t="shared" ref="U21" si="14">R21+S21</f>
        <v>143205</v>
      </c>
      <c r="V21" s="340">
        <f t="shared" si="0"/>
        <v>143205</v>
      </c>
      <c r="W21" s="29">
        <v>131033</v>
      </c>
      <c r="X21" s="536">
        <f t="shared" ref="X21" si="15">V21-W21-W22</f>
        <v>12172</v>
      </c>
      <c r="Y21" s="661">
        <f>U21*0.8</f>
        <v>114564</v>
      </c>
      <c r="Z21" s="61">
        <f>W21*0.8</f>
        <v>104826.40000000001</v>
      </c>
      <c r="AA21" s="536">
        <f>Y21-Z21-Z22</f>
        <v>9737.5999999999913</v>
      </c>
      <c r="AB21" s="536"/>
      <c r="AC21" s="536"/>
      <c r="AD21" s="278" t="s">
        <v>617</v>
      </c>
      <c r="AE21" s="278" t="s">
        <v>591</v>
      </c>
      <c r="AF21" s="290">
        <f>2.04*2500</f>
        <v>5100</v>
      </c>
      <c r="AG21" s="672">
        <f t="shared" ref="AG21" si="16">Y21-AB21-AC21-AF21-AF22</f>
        <v>108714</v>
      </c>
      <c r="AH21" s="684"/>
      <c r="AI21" s="43"/>
    </row>
    <row r="22" spans="1:35" ht="24.95" customHeight="1" x14ac:dyDescent="0.2">
      <c r="A22" s="493"/>
      <c r="B22" s="766"/>
      <c r="C22" s="410"/>
      <c r="D22" s="364"/>
      <c r="E22" s="410"/>
      <c r="F22" s="773"/>
      <c r="G22" s="411"/>
      <c r="H22" s="410"/>
      <c r="I22" s="412"/>
      <c r="J22" s="412"/>
      <c r="K22" s="412"/>
      <c r="L22" s="764"/>
      <c r="M22" s="764"/>
      <c r="N22" s="764"/>
      <c r="O22" s="715"/>
      <c r="P22" s="715"/>
      <c r="Q22" s="764"/>
      <c r="R22" s="715"/>
      <c r="S22" s="715"/>
      <c r="T22" s="764"/>
      <c r="U22" s="538"/>
      <c r="V22" s="341"/>
      <c r="W22" s="29"/>
      <c r="X22" s="538"/>
      <c r="Y22" s="660"/>
      <c r="Z22" s="61"/>
      <c r="AA22" s="538"/>
      <c r="AB22" s="538"/>
      <c r="AC22" s="538"/>
      <c r="AD22" s="278" t="s">
        <v>617</v>
      </c>
      <c r="AE22" s="278" t="s">
        <v>592</v>
      </c>
      <c r="AF22" s="290">
        <f>5*150</f>
        <v>750</v>
      </c>
      <c r="AG22" s="673"/>
      <c r="AH22" s="684"/>
      <c r="AI22" s="43"/>
    </row>
    <row r="23" spans="1:35" ht="24.95" customHeight="1" x14ac:dyDescent="0.2">
      <c r="A23" s="493">
        <v>4</v>
      </c>
      <c r="B23" s="748" t="s">
        <v>588</v>
      </c>
      <c r="C23" s="410">
        <v>2022.4</v>
      </c>
      <c r="D23" s="362"/>
      <c r="E23" s="410" t="s">
        <v>222</v>
      </c>
      <c r="F23" s="411" t="s">
        <v>566</v>
      </c>
      <c r="G23" s="411"/>
      <c r="H23" s="410" t="s">
        <v>587</v>
      </c>
      <c r="I23" s="412" t="s">
        <v>589</v>
      </c>
      <c r="J23" s="412" t="s">
        <v>33</v>
      </c>
      <c r="K23" s="412" t="s">
        <v>33</v>
      </c>
      <c r="L23" s="557">
        <v>261666.77</v>
      </c>
      <c r="M23" s="557">
        <v>0</v>
      </c>
      <c r="N23" s="557">
        <v>0</v>
      </c>
      <c r="O23" s="557">
        <v>0</v>
      </c>
      <c r="P23" s="557">
        <v>0</v>
      </c>
      <c r="Q23" s="557">
        <v>0</v>
      </c>
      <c r="R23" s="536">
        <f t="shared" ref="R23:T23" si="17">O23</f>
        <v>0</v>
      </c>
      <c r="S23" s="536">
        <f t="shared" si="17"/>
        <v>0</v>
      </c>
      <c r="T23" s="536">
        <f t="shared" si="17"/>
        <v>0</v>
      </c>
      <c r="U23" s="536">
        <f>SUM(R23:T24)</f>
        <v>0</v>
      </c>
      <c r="V23" s="340">
        <f t="shared" si="0"/>
        <v>0</v>
      </c>
      <c r="W23" s="29">
        <v>0</v>
      </c>
      <c r="X23" s="536">
        <f>V23-W23-W24</f>
        <v>0</v>
      </c>
      <c r="Y23" s="661">
        <f t="shared" si="1"/>
        <v>0</v>
      </c>
      <c r="Z23" s="29">
        <f t="shared" ref="Z23:Z34" si="18">W23*0.8</f>
        <v>0</v>
      </c>
      <c r="AA23" s="536">
        <f>Y23-Z23-Z24</f>
        <v>0</v>
      </c>
      <c r="AB23" s="518"/>
      <c r="AC23" s="518"/>
      <c r="AD23" s="278" t="s">
        <v>617</v>
      </c>
      <c r="AE23" s="278" t="s">
        <v>891</v>
      </c>
      <c r="AF23" s="290">
        <v>8000</v>
      </c>
      <c r="AG23" s="672">
        <f>Y23-AB23-AC23-AF23-AF24</f>
        <v>-8000</v>
      </c>
      <c r="AH23" s="687"/>
      <c r="AI23" s="43"/>
    </row>
    <row r="24" spans="1:35" ht="24.95" customHeight="1" x14ac:dyDescent="0.2">
      <c r="A24" s="493"/>
      <c r="B24" s="748"/>
      <c r="C24" s="410"/>
      <c r="D24" s="363"/>
      <c r="E24" s="410"/>
      <c r="F24" s="411"/>
      <c r="G24" s="411"/>
      <c r="H24" s="410"/>
      <c r="I24" s="412"/>
      <c r="J24" s="412"/>
      <c r="K24" s="412"/>
      <c r="L24" s="558"/>
      <c r="M24" s="558"/>
      <c r="N24" s="558"/>
      <c r="O24" s="558"/>
      <c r="P24" s="558"/>
      <c r="Q24" s="558"/>
      <c r="R24" s="537"/>
      <c r="S24" s="537"/>
      <c r="T24" s="537"/>
      <c r="U24" s="537"/>
      <c r="V24" s="356"/>
      <c r="W24" s="29">
        <v>0</v>
      </c>
      <c r="X24" s="537"/>
      <c r="Y24" s="662"/>
      <c r="Z24" s="29">
        <f t="shared" si="18"/>
        <v>0</v>
      </c>
      <c r="AA24" s="537"/>
      <c r="AB24" s="518"/>
      <c r="AC24" s="518"/>
      <c r="AD24" s="36"/>
      <c r="AE24" s="36"/>
      <c r="AF24" s="179"/>
      <c r="AG24" s="673"/>
      <c r="AH24" s="725"/>
      <c r="AI24" s="43"/>
    </row>
    <row r="25" spans="1:35" ht="24.95" customHeight="1" x14ac:dyDescent="0.2">
      <c r="A25" s="493"/>
      <c r="B25" s="748"/>
      <c r="C25" s="410"/>
      <c r="D25" s="364"/>
      <c r="E25" s="410"/>
      <c r="F25" s="411"/>
      <c r="G25" s="411"/>
      <c r="H25" s="410"/>
      <c r="I25" s="412"/>
      <c r="J25" s="412"/>
      <c r="K25" s="412"/>
      <c r="L25" s="559"/>
      <c r="M25" s="559"/>
      <c r="N25" s="559"/>
      <c r="O25" s="559"/>
      <c r="P25" s="559"/>
      <c r="Q25" s="559"/>
      <c r="R25" s="538"/>
      <c r="S25" s="538"/>
      <c r="T25" s="538"/>
      <c r="U25" s="538"/>
      <c r="V25" s="341"/>
      <c r="W25" s="29">
        <v>0</v>
      </c>
      <c r="X25" s="538"/>
      <c r="Y25" s="660"/>
      <c r="Z25" s="29">
        <f t="shared" si="18"/>
        <v>0</v>
      </c>
      <c r="AA25" s="538"/>
      <c r="AB25" s="518"/>
      <c r="AC25" s="518"/>
      <c r="AD25" s="36"/>
      <c r="AE25" s="36"/>
      <c r="AF25" s="179"/>
      <c r="AG25" s="674"/>
      <c r="AH25" s="688"/>
      <c r="AI25" s="43"/>
    </row>
    <row r="26" spans="1:35" ht="24.95" customHeight="1" x14ac:dyDescent="0.2">
      <c r="A26" s="493">
        <v>5</v>
      </c>
      <c r="B26" s="495" t="s">
        <v>612</v>
      </c>
      <c r="C26" s="410">
        <v>2022.6</v>
      </c>
      <c r="D26" s="411" t="s">
        <v>613</v>
      </c>
      <c r="E26" s="410" t="s">
        <v>222</v>
      </c>
      <c r="F26" s="411" t="s">
        <v>567</v>
      </c>
      <c r="G26" s="411" t="s">
        <v>586</v>
      </c>
      <c r="H26" s="410" t="s">
        <v>577</v>
      </c>
      <c r="I26" s="412" t="s">
        <v>578</v>
      </c>
      <c r="J26" s="412" t="s">
        <v>639</v>
      </c>
      <c r="K26" s="412" t="s">
        <v>639</v>
      </c>
      <c r="L26" s="732">
        <v>27452.02</v>
      </c>
      <c r="M26" s="560">
        <v>0</v>
      </c>
      <c r="N26" s="560">
        <v>0</v>
      </c>
      <c r="O26" s="560">
        <v>91506.74</v>
      </c>
      <c r="P26" s="560">
        <v>0</v>
      </c>
      <c r="Q26" s="560">
        <v>0</v>
      </c>
      <c r="R26" s="518">
        <f>O26</f>
        <v>91506.74</v>
      </c>
      <c r="S26" s="518">
        <v>0</v>
      </c>
      <c r="T26" s="518">
        <v>0</v>
      </c>
      <c r="U26" s="518">
        <f>SUM(R26:T28)</f>
        <v>91506.74</v>
      </c>
      <c r="V26" s="383">
        <f>U26</f>
        <v>91506.74</v>
      </c>
      <c r="W26" s="29">
        <v>27452.02</v>
      </c>
      <c r="X26" s="518">
        <f>V26-W26-W27-W28</f>
        <v>64054.720000000001</v>
      </c>
      <c r="Y26" s="722">
        <f>V26*0.8</f>
        <v>73205.392000000007</v>
      </c>
      <c r="Z26" s="29">
        <f t="shared" ref="Z26:Z28" si="19">W26*0.8</f>
        <v>21961.616000000002</v>
      </c>
      <c r="AA26" s="518">
        <f>Y26-Z26-Z27-Z28</f>
        <v>51243.776000000005</v>
      </c>
      <c r="AB26" s="518"/>
      <c r="AC26" s="518"/>
      <c r="AD26" s="278"/>
      <c r="AE26" s="278"/>
      <c r="AF26" s="290"/>
      <c r="AG26" s="671">
        <f>Y26-AB26-AC26-AF26-AF27-AF28</f>
        <v>73205.392000000007</v>
      </c>
      <c r="AH26" s="684"/>
      <c r="AI26" s="43"/>
    </row>
    <row r="27" spans="1:35" ht="24.95" customHeight="1" x14ac:dyDescent="0.2">
      <c r="A27" s="493"/>
      <c r="B27" s="495"/>
      <c r="C27" s="410"/>
      <c r="D27" s="411"/>
      <c r="E27" s="410"/>
      <c r="F27" s="411"/>
      <c r="G27" s="411"/>
      <c r="H27" s="410"/>
      <c r="I27" s="412"/>
      <c r="J27" s="412"/>
      <c r="K27" s="412"/>
      <c r="L27" s="732"/>
      <c r="M27" s="560"/>
      <c r="N27" s="560"/>
      <c r="O27" s="560"/>
      <c r="P27" s="560"/>
      <c r="Q27" s="560"/>
      <c r="R27" s="518"/>
      <c r="S27" s="518"/>
      <c r="T27" s="518"/>
      <c r="U27" s="518"/>
      <c r="V27" s="383"/>
      <c r="W27" s="29">
        <v>0</v>
      </c>
      <c r="X27" s="518"/>
      <c r="Y27" s="722"/>
      <c r="Z27" s="29">
        <f t="shared" si="19"/>
        <v>0</v>
      </c>
      <c r="AA27" s="518"/>
      <c r="AB27" s="518"/>
      <c r="AC27" s="518"/>
      <c r="AD27" s="278"/>
      <c r="AE27" s="278"/>
      <c r="AF27" s="290"/>
      <c r="AG27" s="671"/>
      <c r="AH27" s="684"/>
      <c r="AI27" s="43"/>
    </row>
    <row r="28" spans="1:35" ht="24.95" customHeight="1" x14ac:dyDescent="0.2">
      <c r="A28" s="493"/>
      <c r="B28" s="495"/>
      <c r="C28" s="410"/>
      <c r="D28" s="411"/>
      <c r="E28" s="410"/>
      <c r="F28" s="411"/>
      <c r="G28" s="411"/>
      <c r="H28" s="410"/>
      <c r="I28" s="412"/>
      <c r="J28" s="412"/>
      <c r="K28" s="412"/>
      <c r="L28" s="732"/>
      <c r="M28" s="560"/>
      <c r="N28" s="560"/>
      <c r="O28" s="560"/>
      <c r="P28" s="560"/>
      <c r="Q28" s="560"/>
      <c r="R28" s="518"/>
      <c r="S28" s="518"/>
      <c r="T28" s="518"/>
      <c r="U28" s="518"/>
      <c r="V28" s="383"/>
      <c r="W28" s="29">
        <v>0</v>
      </c>
      <c r="X28" s="518"/>
      <c r="Y28" s="722"/>
      <c r="Z28" s="29">
        <f t="shared" si="19"/>
        <v>0</v>
      </c>
      <c r="AA28" s="518"/>
      <c r="AB28" s="518"/>
      <c r="AC28" s="518"/>
      <c r="AD28" s="278"/>
      <c r="AE28" s="278"/>
      <c r="AF28" s="290"/>
      <c r="AG28" s="671"/>
      <c r="AH28" s="684"/>
      <c r="AI28" s="43"/>
    </row>
    <row r="29" spans="1:35" ht="24.95" customHeight="1" x14ac:dyDescent="0.2">
      <c r="A29" s="493">
        <v>6</v>
      </c>
      <c r="B29" s="495" t="s">
        <v>605</v>
      </c>
      <c r="C29" s="410">
        <v>2022.8</v>
      </c>
      <c r="D29" s="411" t="s">
        <v>611</v>
      </c>
      <c r="E29" s="410" t="s">
        <v>222</v>
      </c>
      <c r="F29" s="411" t="s">
        <v>568</v>
      </c>
      <c r="G29" s="411" t="s">
        <v>575</v>
      </c>
      <c r="H29" s="410" t="s">
        <v>609</v>
      </c>
      <c r="I29" s="412"/>
      <c r="J29" s="412" t="s">
        <v>33</v>
      </c>
      <c r="K29" s="412" t="s">
        <v>33</v>
      </c>
      <c r="L29" s="732">
        <f>261666.77*0.85</f>
        <v>222416.75449999998</v>
      </c>
      <c r="M29" s="560">
        <f>261666.77*0.15</f>
        <v>39250.015499999994</v>
      </c>
      <c r="N29" s="560">
        <v>0</v>
      </c>
      <c r="O29" s="560">
        <f>L29</f>
        <v>222416.75449999998</v>
      </c>
      <c r="P29" s="560">
        <f>M29</f>
        <v>39250.015499999994</v>
      </c>
      <c r="Q29" s="560">
        <v>0</v>
      </c>
      <c r="R29" s="518">
        <v>222416.75</v>
      </c>
      <c r="S29" s="518">
        <v>39250.019999999997</v>
      </c>
      <c r="T29" s="518">
        <v>0</v>
      </c>
      <c r="U29" s="518">
        <f>SUM(R29:T31)</f>
        <v>261666.77</v>
      </c>
      <c r="V29" s="383">
        <f>U29</f>
        <v>261666.77</v>
      </c>
      <c r="W29" s="29">
        <v>235500</v>
      </c>
      <c r="X29" s="518">
        <f>V29-W29-W30-W31</f>
        <v>-1.0913936421275139E-11</v>
      </c>
      <c r="Y29" s="722">
        <f>V29*0.8</f>
        <v>209333.416</v>
      </c>
      <c r="Z29" s="29">
        <f t="shared" si="18"/>
        <v>188400</v>
      </c>
      <c r="AA29" s="518">
        <f>Y29-Z29-Z30-Z31</f>
        <v>-3.637978807091713E-12</v>
      </c>
      <c r="AB29" s="518"/>
      <c r="AC29" s="518"/>
      <c r="AD29" s="278" t="s">
        <v>590</v>
      </c>
      <c r="AE29" s="278" t="s">
        <v>591</v>
      </c>
      <c r="AF29" s="290">
        <f>0.85*2500</f>
        <v>2125</v>
      </c>
      <c r="AG29" s="671">
        <f>Y29-AB29-AC29-AF29-AF30-AF31</f>
        <v>207208.416</v>
      </c>
      <c r="AH29" s="684"/>
      <c r="AI29" s="43"/>
    </row>
    <row r="30" spans="1:35" ht="24.95" customHeight="1" x14ac:dyDescent="0.2">
      <c r="A30" s="493"/>
      <c r="B30" s="495"/>
      <c r="C30" s="410"/>
      <c r="D30" s="411"/>
      <c r="E30" s="410"/>
      <c r="F30" s="411"/>
      <c r="G30" s="411"/>
      <c r="H30" s="410"/>
      <c r="I30" s="412"/>
      <c r="J30" s="412"/>
      <c r="K30" s="412"/>
      <c r="L30" s="732"/>
      <c r="M30" s="560"/>
      <c r="N30" s="560"/>
      <c r="O30" s="560"/>
      <c r="P30" s="560"/>
      <c r="Q30" s="560"/>
      <c r="R30" s="518"/>
      <c r="S30" s="518"/>
      <c r="T30" s="518"/>
      <c r="U30" s="518"/>
      <c r="V30" s="383"/>
      <c r="W30" s="29">
        <v>26166.77</v>
      </c>
      <c r="X30" s="518"/>
      <c r="Y30" s="722"/>
      <c r="Z30" s="29">
        <f t="shared" si="18"/>
        <v>20933.416000000001</v>
      </c>
      <c r="AA30" s="518"/>
      <c r="AB30" s="518"/>
      <c r="AC30" s="518"/>
      <c r="AD30" s="278"/>
      <c r="AE30" s="278"/>
      <c r="AF30" s="290"/>
      <c r="AG30" s="671"/>
      <c r="AH30" s="684"/>
      <c r="AI30" s="43"/>
    </row>
    <row r="31" spans="1:35" ht="24.95" customHeight="1" x14ac:dyDescent="0.2">
      <c r="A31" s="493"/>
      <c r="B31" s="495"/>
      <c r="C31" s="410"/>
      <c r="D31" s="411"/>
      <c r="E31" s="410"/>
      <c r="F31" s="411"/>
      <c r="G31" s="411"/>
      <c r="H31" s="410"/>
      <c r="I31" s="412"/>
      <c r="J31" s="412"/>
      <c r="K31" s="412"/>
      <c r="L31" s="732"/>
      <c r="M31" s="560"/>
      <c r="N31" s="560"/>
      <c r="O31" s="560"/>
      <c r="P31" s="560"/>
      <c r="Q31" s="560"/>
      <c r="R31" s="518"/>
      <c r="S31" s="518"/>
      <c r="T31" s="518"/>
      <c r="U31" s="518"/>
      <c r="V31" s="383"/>
      <c r="W31" s="29">
        <v>0</v>
      </c>
      <c r="X31" s="518"/>
      <c r="Y31" s="722"/>
      <c r="Z31" s="29">
        <f t="shared" si="18"/>
        <v>0</v>
      </c>
      <c r="AA31" s="518"/>
      <c r="AB31" s="518"/>
      <c r="AC31" s="518"/>
      <c r="AD31" s="278"/>
      <c r="AE31" s="278"/>
      <c r="AF31" s="290"/>
      <c r="AG31" s="671"/>
      <c r="AH31" s="684"/>
      <c r="AI31" s="43"/>
    </row>
    <row r="32" spans="1:35" ht="24.95" customHeight="1" x14ac:dyDescent="0.2">
      <c r="A32" s="535">
        <v>7</v>
      </c>
      <c r="B32" s="522" t="s">
        <v>607</v>
      </c>
      <c r="C32" s="463">
        <v>2022.8</v>
      </c>
      <c r="D32" s="364" t="s">
        <v>636</v>
      </c>
      <c r="E32" s="769" t="s">
        <v>719</v>
      </c>
      <c r="F32" s="411" t="s">
        <v>720</v>
      </c>
      <c r="G32" s="364" t="s">
        <v>608</v>
      </c>
      <c r="H32" s="463" t="s">
        <v>610</v>
      </c>
      <c r="I32" s="468"/>
      <c r="J32" s="412" t="s">
        <v>33</v>
      </c>
      <c r="K32" s="412" t="s">
        <v>33</v>
      </c>
      <c r="L32" s="715">
        <f>529899-M32</f>
        <v>419899</v>
      </c>
      <c r="M32" s="560">
        <f>11*10000</f>
        <v>110000</v>
      </c>
      <c r="N32" s="560">
        <v>0</v>
      </c>
      <c r="O32" s="560">
        <f>L32</f>
        <v>419899</v>
      </c>
      <c r="P32" s="560">
        <f>M32</f>
        <v>110000</v>
      </c>
      <c r="Q32" s="560">
        <v>0</v>
      </c>
      <c r="R32" s="518">
        <f>INT(O32*0.99)</f>
        <v>415700</v>
      </c>
      <c r="S32" s="518">
        <f>INT(P32*0.99)</f>
        <v>108900</v>
      </c>
      <c r="T32" s="518">
        <v>1</v>
      </c>
      <c r="U32" s="538">
        <f>SUM(R32:T34)</f>
        <v>524601</v>
      </c>
      <c r="V32" s="341">
        <f>U32</f>
        <v>524601</v>
      </c>
      <c r="W32" s="31">
        <v>0</v>
      </c>
      <c r="X32" s="538">
        <f>V32-W32-W33-W34</f>
        <v>524601</v>
      </c>
      <c r="Y32" s="660">
        <f>V32*0.81</f>
        <v>424926.81000000006</v>
      </c>
      <c r="Z32" s="31">
        <f t="shared" si="18"/>
        <v>0</v>
      </c>
      <c r="AA32" s="538">
        <f>Y32-Z32-Z33-Z34</f>
        <v>424926.81000000006</v>
      </c>
      <c r="AB32" s="518"/>
      <c r="AC32" s="518"/>
      <c r="AD32" s="278" t="s">
        <v>617</v>
      </c>
      <c r="AE32" s="278" t="s">
        <v>591</v>
      </c>
      <c r="AF32" s="290">
        <f>11.319*2500</f>
        <v>28297.500000000004</v>
      </c>
      <c r="AG32" s="674">
        <f>Y32-AB32-AC32-AF32-AF33-AF34</f>
        <v>396629.31000000006</v>
      </c>
      <c r="AH32" s="688"/>
      <c r="AI32" s="43"/>
    </row>
    <row r="33" spans="1:35" ht="24.95" customHeight="1" x14ac:dyDescent="0.2">
      <c r="A33" s="493"/>
      <c r="B33" s="495"/>
      <c r="C33" s="410"/>
      <c r="D33" s="411"/>
      <c r="E33" s="769"/>
      <c r="F33" s="411"/>
      <c r="G33" s="411"/>
      <c r="H33" s="410"/>
      <c r="I33" s="412"/>
      <c r="J33" s="412"/>
      <c r="K33" s="412"/>
      <c r="L33" s="732"/>
      <c r="M33" s="560"/>
      <c r="N33" s="560"/>
      <c r="O33" s="560"/>
      <c r="P33" s="560"/>
      <c r="Q33" s="560"/>
      <c r="R33" s="518"/>
      <c r="S33" s="518"/>
      <c r="T33" s="518"/>
      <c r="U33" s="518"/>
      <c r="V33" s="383"/>
      <c r="W33" s="29">
        <v>0</v>
      </c>
      <c r="X33" s="518"/>
      <c r="Y33" s="722"/>
      <c r="Z33" s="31">
        <f t="shared" si="18"/>
        <v>0</v>
      </c>
      <c r="AA33" s="518"/>
      <c r="AB33" s="518"/>
      <c r="AC33" s="518"/>
      <c r="AD33" s="36"/>
      <c r="AE33" s="41"/>
      <c r="AF33" s="42"/>
      <c r="AG33" s="671"/>
      <c r="AH33" s="684"/>
      <c r="AI33" s="43"/>
    </row>
    <row r="34" spans="1:35" ht="24.95" customHeight="1" x14ac:dyDescent="0.2">
      <c r="A34" s="493"/>
      <c r="B34" s="495"/>
      <c r="C34" s="410"/>
      <c r="D34" s="411"/>
      <c r="E34" s="769"/>
      <c r="F34" s="411"/>
      <c r="G34" s="411"/>
      <c r="H34" s="410"/>
      <c r="I34" s="412"/>
      <c r="J34" s="412"/>
      <c r="K34" s="412"/>
      <c r="L34" s="732"/>
      <c r="M34" s="560"/>
      <c r="N34" s="560"/>
      <c r="O34" s="560"/>
      <c r="P34" s="560"/>
      <c r="Q34" s="560"/>
      <c r="R34" s="518"/>
      <c r="S34" s="518"/>
      <c r="T34" s="518"/>
      <c r="U34" s="518"/>
      <c r="V34" s="383"/>
      <c r="W34" s="29">
        <v>0</v>
      </c>
      <c r="X34" s="518"/>
      <c r="Y34" s="722"/>
      <c r="Z34" s="31">
        <f t="shared" si="18"/>
        <v>0</v>
      </c>
      <c r="AA34" s="518"/>
      <c r="AB34" s="518"/>
      <c r="AC34" s="518"/>
      <c r="AD34" s="36"/>
      <c r="AE34" s="41"/>
      <c r="AF34" s="42"/>
      <c r="AG34" s="671"/>
      <c r="AH34" s="684"/>
      <c r="AI34" s="43"/>
    </row>
    <row r="35" spans="1:35" ht="24.95" customHeight="1" x14ac:dyDescent="0.2">
      <c r="A35" s="493">
        <v>8</v>
      </c>
      <c r="B35" s="495" t="s">
        <v>606</v>
      </c>
      <c r="C35" s="410">
        <v>2022.8</v>
      </c>
      <c r="D35" s="411" t="s">
        <v>637</v>
      </c>
      <c r="E35" s="410" t="s">
        <v>747</v>
      </c>
      <c r="F35" s="411" t="s">
        <v>569</v>
      </c>
      <c r="G35" s="364" t="s">
        <v>608</v>
      </c>
      <c r="H35" s="410" t="s">
        <v>610</v>
      </c>
      <c r="I35" s="412"/>
      <c r="J35" s="412" t="s">
        <v>33</v>
      </c>
      <c r="K35" s="412" t="s">
        <v>33</v>
      </c>
      <c r="L35" s="732">
        <f>838410-M35</f>
        <v>498410</v>
      </c>
      <c r="M35" s="560">
        <f>10000*34</f>
        <v>340000</v>
      </c>
      <c r="N35" s="560">
        <v>0</v>
      </c>
      <c r="O35" s="560">
        <f>L35</f>
        <v>498410</v>
      </c>
      <c r="P35" s="560">
        <f>M35</f>
        <v>340000</v>
      </c>
      <c r="Q35" s="560">
        <f>N35</f>
        <v>0</v>
      </c>
      <c r="R35" s="518">
        <f>INT(O35*0.99)</f>
        <v>493425</v>
      </c>
      <c r="S35" s="518">
        <f>INT(P35*0.99)</f>
        <v>336600</v>
      </c>
      <c r="T35" s="518">
        <f>INT(Q35*0.99)</f>
        <v>0</v>
      </c>
      <c r="U35" s="518">
        <f>SUM(R35:T37)</f>
        <v>830025</v>
      </c>
      <c r="V35" s="383">
        <f>U35</f>
        <v>830025</v>
      </c>
      <c r="W35" s="29">
        <v>0</v>
      </c>
      <c r="X35" s="518">
        <f>V35-W35-W36-W37</f>
        <v>830025</v>
      </c>
      <c r="Y35" s="722">
        <f>V35*0.8</f>
        <v>664020</v>
      </c>
      <c r="Z35" s="29"/>
      <c r="AA35" s="518">
        <f>Y35-Z35-Z36-Z37</f>
        <v>664020</v>
      </c>
      <c r="AB35" s="518"/>
      <c r="AC35" s="518"/>
      <c r="AD35" s="278" t="s">
        <v>590</v>
      </c>
      <c r="AE35" s="278" t="s">
        <v>591</v>
      </c>
      <c r="AF35" s="290">
        <f>7.8*2500</f>
        <v>19500</v>
      </c>
      <c r="AG35" s="671">
        <f>Y35-AB35-AC35-AF35-AF36-AF37</f>
        <v>644520</v>
      </c>
      <c r="AH35" s="684"/>
      <c r="AI35" s="43"/>
    </row>
    <row r="36" spans="1:35" ht="24.95" customHeight="1" x14ac:dyDescent="0.2">
      <c r="A36" s="493"/>
      <c r="B36" s="495"/>
      <c r="C36" s="410"/>
      <c r="D36" s="411"/>
      <c r="E36" s="410"/>
      <c r="F36" s="411"/>
      <c r="G36" s="411"/>
      <c r="H36" s="410"/>
      <c r="I36" s="412"/>
      <c r="J36" s="412"/>
      <c r="K36" s="412"/>
      <c r="L36" s="732"/>
      <c r="M36" s="560"/>
      <c r="N36" s="560"/>
      <c r="O36" s="560"/>
      <c r="P36" s="560"/>
      <c r="Q36" s="560"/>
      <c r="R36" s="518"/>
      <c r="S36" s="518"/>
      <c r="T36" s="518"/>
      <c r="U36" s="518"/>
      <c r="V36" s="383"/>
      <c r="W36" s="29">
        <v>0</v>
      </c>
      <c r="X36" s="518"/>
      <c r="Y36" s="722"/>
      <c r="Z36" s="29"/>
      <c r="AA36" s="518"/>
      <c r="AB36" s="518"/>
      <c r="AC36" s="518"/>
      <c r="AD36" s="36"/>
      <c r="AE36" s="36"/>
      <c r="AF36" s="179"/>
      <c r="AG36" s="671"/>
      <c r="AH36" s="684"/>
      <c r="AI36" s="43"/>
    </row>
    <row r="37" spans="1:35" ht="24.95" customHeight="1" x14ac:dyDescent="0.2">
      <c r="A37" s="493"/>
      <c r="B37" s="495"/>
      <c r="C37" s="410"/>
      <c r="D37" s="411"/>
      <c r="E37" s="410"/>
      <c r="F37" s="411"/>
      <c r="G37" s="411"/>
      <c r="H37" s="410"/>
      <c r="I37" s="412"/>
      <c r="J37" s="412"/>
      <c r="K37" s="412"/>
      <c r="L37" s="732"/>
      <c r="M37" s="560"/>
      <c r="N37" s="560"/>
      <c r="O37" s="560"/>
      <c r="P37" s="560"/>
      <c r="Q37" s="560"/>
      <c r="R37" s="518"/>
      <c r="S37" s="518"/>
      <c r="T37" s="518"/>
      <c r="U37" s="518"/>
      <c r="V37" s="383"/>
      <c r="W37" s="29">
        <v>0</v>
      </c>
      <c r="X37" s="518"/>
      <c r="Y37" s="722"/>
      <c r="Z37" s="29"/>
      <c r="AA37" s="518"/>
      <c r="AB37" s="518"/>
      <c r="AC37" s="518"/>
      <c r="AD37" s="36"/>
      <c r="AE37" s="36"/>
      <c r="AF37" s="179"/>
      <c r="AG37" s="671"/>
      <c r="AH37" s="684"/>
      <c r="AI37" s="43"/>
    </row>
    <row r="38" spans="1:35" ht="24.95" customHeight="1" x14ac:dyDescent="0.2">
      <c r="A38" s="493">
        <v>9</v>
      </c>
      <c r="B38" s="495" t="s">
        <v>635</v>
      </c>
      <c r="C38" s="410">
        <v>2022.9</v>
      </c>
      <c r="D38" s="411"/>
      <c r="E38" s="410" t="s">
        <v>222</v>
      </c>
      <c r="F38" s="411" t="s">
        <v>634</v>
      </c>
      <c r="G38" s="364" t="s">
        <v>646</v>
      </c>
      <c r="H38" s="410"/>
      <c r="I38" s="412"/>
      <c r="J38" s="412" t="s">
        <v>638</v>
      </c>
      <c r="K38" s="412" t="s">
        <v>638</v>
      </c>
      <c r="L38" s="732">
        <v>50000</v>
      </c>
      <c r="M38" s="736"/>
      <c r="N38" s="736"/>
      <c r="O38" s="560">
        <v>50000</v>
      </c>
      <c r="P38" s="736"/>
      <c r="Q38" s="736"/>
      <c r="R38" s="518">
        <v>50000</v>
      </c>
      <c r="S38" s="737"/>
      <c r="T38" s="737"/>
      <c r="U38" s="518">
        <f>SUM(R38:T40)</f>
        <v>50000</v>
      </c>
      <c r="V38" s="383">
        <f>U38</f>
        <v>50000</v>
      </c>
      <c r="W38" s="29">
        <v>10000</v>
      </c>
      <c r="X38" s="518">
        <f>V38-W38-W39-W40</f>
        <v>0</v>
      </c>
      <c r="Y38" s="722">
        <f>V38*0.8</f>
        <v>40000</v>
      </c>
      <c r="Z38" s="29">
        <f>W38*0.8</f>
        <v>8000</v>
      </c>
      <c r="AA38" s="518">
        <f>Y38-Z38-Z39-Z40</f>
        <v>0</v>
      </c>
      <c r="AB38" s="518"/>
      <c r="AC38" s="518"/>
      <c r="AD38" s="37"/>
      <c r="AE38" s="37"/>
      <c r="AF38" s="182"/>
      <c r="AG38" s="671">
        <f>Y38-AB38-AC38-AF38-AF39-AF40</f>
        <v>40000</v>
      </c>
      <c r="AH38" s="684"/>
      <c r="AI38" s="43"/>
    </row>
    <row r="39" spans="1:35" ht="24.95" customHeight="1" x14ac:dyDescent="0.2">
      <c r="A39" s="493"/>
      <c r="B39" s="495"/>
      <c r="C39" s="410"/>
      <c r="D39" s="411"/>
      <c r="E39" s="410"/>
      <c r="F39" s="411"/>
      <c r="G39" s="411"/>
      <c r="H39" s="410"/>
      <c r="I39" s="412"/>
      <c r="J39" s="412"/>
      <c r="K39" s="412"/>
      <c r="L39" s="732"/>
      <c r="M39" s="736"/>
      <c r="N39" s="736"/>
      <c r="O39" s="560"/>
      <c r="P39" s="736"/>
      <c r="Q39" s="736"/>
      <c r="R39" s="518"/>
      <c r="S39" s="737"/>
      <c r="T39" s="737"/>
      <c r="U39" s="518"/>
      <c r="V39" s="383"/>
      <c r="W39" s="29">
        <v>40000</v>
      </c>
      <c r="X39" s="518"/>
      <c r="Y39" s="722"/>
      <c r="Z39" s="29">
        <f>W39*0.8</f>
        <v>32000</v>
      </c>
      <c r="AA39" s="518"/>
      <c r="AB39" s="518"/>
      <c r="AC39" s="518"/>
      <c r="AD39" s="37"/>
      <c r="AE39" s="37"/>
      <c r="AF39" s="182"/>
      <c r="AG39" s="671"/>
      <c r="AH39" s="684"/>
      <c r="AI39" s="43"/>
    </row>
    <row r="40" spans="1:35" ht="24.95" customHeight="1" thickBot="1" x14ac:dyDescent="0.25">
      <c r="A40" s="493"/>
      <c r="B40" s="495"/>
      <c r="C40" s="410"/>
      <c r="D40" s="411"/>
      <c r="E40" s="410"/>
      <c r="F40" s="411"/>
      <c r="G40" s="411"/>
      <c r="H40" s="410"/>
      <c r="I40" s="412"/>
      <c r="J40" s="412"/>
      <c r="K40" s="412"/>
      <c r="L40" s="732"/>
      <c r="M40" s="736"/>
      <c r="N40" s="736"/>
      <c r="O40" s="560"/>
      <c r="P40" s="736"/>
      <c r="Q40" s="736"/>
      <c r="R40" s="518"/>
      <c r="S40" s="737"/>
      <c r="T40" s="737"/>
      <c r="U40" s="518"/>
      <c r="V40" s="383"/>
      <c r="W40" s="29">
        <v>0</v>
      </c>
      <c r="X40" s="518"/>
      <c r="Y40" s="722"/>
      <c r="Z40" s="29"/>
      <c r="AA40" s="518"/>
      <c r="AB40" s="518"/>
      <c r="AC40" s="518"/>
      <c r="AD40" s="37"/>
      <c r="AE40" s="37"/>
      <c r="AF40" s="182"/>
      <c r="AG40" s="671"/>
      <c r="AH40" s="684"/>
      <c r="AI40" s="43"/>
    </row>
    <row r="41" spans="1:35" ht="24.95" customHeight="1" thickBot="1" x14ac:dyDescent="0.25">
      <c r="A41" s="767" t="s">
        <v>224</v>
      </c>
      <c r="B41" s="768"/>
      <c r="C41" s="768"/>
      <c r="D41" s="768"/>
      <c r="E41" s="768"/>
      <c r="F41" s="768"/>
      <c r="G41" s="768"/>
      <c r="H41" s="768"/>
      <c r="I41" s="768"/>
      <c r="J41" s="768"/>
      <c r="K41" s="768"/>
      <c r="L41" s="261">
        <f t="shared" ref="L41:AB41" si="20">SUM(L5:L40)</f>
        <v>1492934.8045000001</v>
      </c>
      <c r="M41" s="261">
        <f t="shared" si="20"/>
        <v>489250.01549999998</v>
      </c>
      <c r="N41" s="261">
        <f t="shared" si="20"/>
        <v>0</v>
      </c>
      <c r="O41" s="261">
        <f t="shared" si="20"/>
        <v>1897779.7545</v>
      </c>
      <c r="P41" s="261">
        <f t="shared" si="20"/>
        <v>588297.01549999998</v>
      </c>
      <c r="Q41" s="261">
        <f t="shared" si="20"/>
        <v>0</v>
      </c>
      <c r="R41" s="261">
        <f t="shared" si="20"/>
        <v>1888595.75</v>
      </c>
      <c r="S41" s="261">
        <f t="shared" si="20"/>
        <v>583797.02</v>
      </c>
      <c r="T41" s="261">
        <f t="shared" si="20"/>
        <v>1</v>
      </c>
      <c r="U41" s="261">
        <f t="shared" si="20"/>
        <v>2472393.77</v>
      </c>
      <c r="V41" s="262">
        <f t="shared" si="20"/>
        <v>2472393.77</v>
      </c>
      <c r="W41" s="261">
        <f t="shared" si="20"/>
        <v>1018770.05</v>
      </c>
      <c r="X41" s="261">
        <f t="shared" si="20"/>
        <v>1453623.72</v>
      </c>
      <c r="Y41" s="262">
        <f t="shared" si="20"/>
        <v>1877560.2260000003</v>
      </c>
      <c r="Z41" s="261">
        <f t="shared" si="20"/>
        <v>572215.03200000001</v>
      </c>
      <c r="AA41" s="261">
        <f t="shared" si="20"/>
        <v>1176971.594</v>
      </c>
      <c r="AB41" s="261">
        <f t="shared" si="20"/>
        <v>0</v>
      </c>
      <c r="AC41" s="261">
        <f>SUM(AC5:AC7)</f>
        <v>0</v>
      </c>
      <c r="AD41" s="268"/>
      <c r="AE41" s="268"/>
      <c r="AF41" s="269">
        <f>SUM(AF5:AF40)</f>
        <v>86152.5</v>
      </c>
      <c r="AG41" s="262">
        <f>SUM(AG5:AG7)</f>
        <v>10472.208000000001</v>
      </c>
      <c r="AH41" s="264"/>
    </row>
    <row r="42" spans="1:35" ht="24.95" customHeight="1" x14ac:dyDescent="0.2">
      <c r="A42" s="745" t="s">
        <v>208</v>
      </c>
      <c r="B42" s="745"/>
      <c r="C42" s="745"/>
      <c r="D42" s="745"/>
      <c r="E42" s="745"/>
      <c r="F42" s="745"/>
      <c r="G42" s="745"/>
      <c r="H42" s="745"/>
      <c r="I42" s="745"/>
      <c r="J42" s="745"/>
      <c r="K42" s="745"/>
      <c r="L42" s="46"/>
      <c r="M42" s="46"/>
      <c r="N42" s="46"/>
      <c r="O42" s="46"/>
      <c r="P42" s="46"/>
      <c r="Q42" s="46"/>
      <c r="R42" s="46"/>
      <c r="S42" s="46"/>
      <c r="T42" s="46"/>
      <c r="U42" s="46"/>
      <c r="V42" s="152"/>
      <c r="W42" s="46"/>
      <c r="X42" s="46"/>
      <c r="Y42" s="159"/>
      <c r="Z42" s="46"/>
      <c r="AA42" s="46"/>
      <c r="AB42" s="46"/>
      <c r="AC42" s="46"/>
      <c r="AD42" s="51"/>
      <c r="AE42" s="51"/>
      <c r="AF42" s="180"/>
      <c r="AG42" s="156"/>
      <c r="AH42" s="53"/>
    </row>
  </sheetData>
  <mergeCells count="392">
    <mergeCell ref="AH38:AH40"/>
    <mergeCell ref="A38:A40"/>
    <mergeCell ref="B38:B40"/>
    <mergeCell ref="L23:L25"/>
    <mergeCell ref="R23:R25"/>
    <mergeCell ref="Q23:Q25"/>
    <mergeCell ref="P23:P25"/>
    <mergeCell ref="O23:O25"/>
    <mergeCell ref="N23:N25"/>
    <mergeCell ref="M23:M25"/>
    <mergeCell ref="V23:V25"/>
    <mergeCell ref="U23:U25"/>
    <mergeCell ref="T23:T25"/>
    <mergeCell ref="S23:S25"/>
    <mergeCell ref="E35:E37"/>
    <mergeCell ref="E38:E40"/>
    <mergeCell ref="C35:C37"/>
    <mergeCell ref="C38:C40"/>
    <mergeCell ref="E26:E28"/>
    <mergeCell ref="F29:F31"/>
    <mergeCell ref="F32:F34"/>
    <mergeCell ref="F35:F37"/>
    <mergeCell ref="F38:F40"/>
    <mergeCell ref="B32:B34"/>
    <mergeCell ref="AI2:AI4"/>
    <mergeCell ref="AH2:AH4"/>
    <mergeCell ref="AH5:AH7"/>
    <mergeCell ref="AH8:AH10"/>
    <mergeCell ref="AH11:AH22"/>
    <mergeCell ref="AH29:AH31"/>
    <mergeCell ref="AH32:AH34"/>
    <mergeCell ref="AH35:AH37"/>
    <mergeCell ref="AH26:AH28"/>
    <mergeCell ref="AH23:AH25"/>
    <mergeCell ref="AC5:AC7"/>
    <mergeCell ref="AC8:AC10"/>
    <mergeCell ref="AC29:AC31"/>
    <mergeCell ref="AC32:AC34"/>
    <mergeCell ref="AC35:AC37"/>
    <mergeCell ref="AC38:AC40"/>
    <mergeCell ref="AG5:AG7"/>
    <mergeCell ref="AG8:AG10"/>
    <mergeCell ref="AG29:AG31"/>
    <mergeCell ref="AG32:AG34"/>
    <mergeCell ref="AG35:AG37"/>
    <mergeCell ref="AG38:AG40"/>
    <mergeCell ref="AC23:AC25"/>
    <mergeCell ref="AG23:AG25"/>
    <mergeCell ref="AC26:AC28"/>
    <mergeCell ref="AG26:AG28"/>
    <mergeCell ref="AC11:AC12"/>
    <mergeCell ref="AG11:AG12"/>
    <mergeCell ref="AG13:AG14"/>
    <mergeCell ref="AG15:AG16"/>
    <mergeCell ref="AG17:AG18"/>
    <mergeCell ref="AG19:AG20"/>
    <mergeCell ref="AG21:AG22"/>
    <mergeCell ref="AC17:AC18"/>
    <mergeCell ref="AA5:AA7"/>
    <mergeCell ref="AA8:AA10"/>
    <mergeCell ref="AA29:AA31"/>
    <mergeCell ref="AA32:AA34"/>
    <mergeCell ref="AA35:AA37"/>
    <mergeCell ref="AA38:AA40"/>
    <mergeCell ref="AB5:AB7"/>
    <mergeCell ref="AB8:AB10"/>
    <mergeCell ref="AB29:AB31"/>
    <mergeCell ref="AB32:AB34"/>
    <mergeCell ref="AB35:AB37"/>
    <mergeCell ref="AB38:AB40"/>
    <mergeCell ref="AB23:AB25"/>
    <mergeCell ref="AA23:AA25"/>
    <mergeCell ref="AA26:AA28"/>
    <mergeCell ref="AB26:AB28"/>
    <mergeCell ref="AB11:AB12"/>
    <mergeCell ref="AA11:AA12"/>
    <mergeCell ref="AA21:AA22"/>
    <mergeCell ref="AB21:AB22"/>
    <mergeCell ref="X5:X7"/>
    <mergeCell ref="X8:X10"/>
    <mergeCell ref="X29:X31"/>
    <mergeCell ref="X32:X34"/>
    <mergeCell ref="X35:X37"/>
    <mergeCell ref="X38:X40"/>
    <mergeCell ref="Y5:Y7"/>
    <mergeCell ref="Y8:Y10"/>
    <mergeCell ref="Y29:Y31"/>
    <mergeCell ref="Y32:Y34"/>
    <mergeCell ref="Y35:Y37"/>
    <mergeCell ref="Y38:Y40"/>
    <mergeCell ref="X23:X25"/>
    <mergeCell ref="Y23:Y25"/>
    <mergeCell ref="X26:X28"/>
    <mergeCell ref="Y26:Y28"/>
    <mergeCell ref="Y17:Y18"/>
    <mergeCell ref="Y21:Y22"/>
    <mergeCell ref="Y19:Y20"/>
    <mergeCell ref="Y11:Y12"/>
    <mergeCell ref="Y13:Y14"/>
    <mergeCell ref="Y15:Y16"/>
    <mergeCell ref="U5:U7"/>
    <mergeCell ref="U8:U10"/>
    <mergeCell ref="U29:U31"/>
    <mergeCell ref="U32:U34"/>
    <mergeCell ref="U35:U37"/>
    <mergeCell ref="U38:U40"/>
    <mergeCell ref="T26:T28"/>
    <mergeCell ref="V5:V7"/>
    <mergeCell ref="V8:V10"/>
    <mergeCell ref="V29:V31"/>
    <mergeCell ref="V32:V34"/>
    <mergeCell ref="V35:V37"/>
    <mergeCell ref="V38:V40"/>
    <mergeCell ref="U26:U28"/>
    <mergeCell ref="V26:V28"/>
    <mergeCell ref="T15:T16"/>
    <mergeCell ref="T17:T18"/>
    <mergeCell ref="T19:T20"/>
    <mergeCell ref="T21:T22"/>
    <mergeCell ref="U11:U12"/>
    <mergeCell ref="U13:U14"/>
    <mergeCell ref="U15:U16"/>
    <mergeCell ref="U17:U18"/>
    <mergeCell ref="U19:U20"/>
    <mergeCell ref="S5:S7"/>
    <mergeCell ref="S8:S10"/>
    <mergeCell ref="S29:S31"/>
    <mergeCell ref="S32:S34"/>
    <mergeCell ref="S35:S37"/>
    <mergeCell ref="S38:S40"/>
    <mergeCell ref="R26:R28"/>
    <mergeCell ref="T5:T7"/>
    <mergeCell ref="T8:T10"/>
    <mergeCell ref="T29:T31"/>
    <mergeCell ref="T32:T34"/>
    <mergeCell ref="T35:T37"/>
    <mergeCell ref="T38:T40"/>
    <mergeCell ref="S26:S28"/>
    <mergeCell ref="R19:R20"/>
    <mergeCell ref="R21:R22"/>
    <mergeCell ref="S11:S12"/>
    <mergeCell ref="S13:S14"/>
    <mergeCell ref="S15:S16"/>
    <mergeCell ref="S17:S18"/>
    <mergeCell ref="S19:S20"/>
    <mergeCell ref="S21:S22"/>
    <mergeCell ref="T11:T12"/>
    <mergeCell ref="T13:T14"/>
    <mergeCell ref="Q5:Q7"/>
    <mergeCell ref="Q8:Q10"/>
    <mergeCell ref="Q29:Q31"/>
    <mergeCell ref="Q32:Q34"/>
    <mergeCell ref="Q35:Q37"/>
    <mergeCell ref="Q38:Q40"/>
    <mergeCell ref="P26:P28"/>
    <mergeCell ref="R5:R7"/>
    <mergeCell ref="R8:R10"/>
    <mergeCell ref="R29:R31"/>
    <mergeCell ref="R32:R34"/>
    <mergeCell ref="R35:R37"/>
    <mergeCell ref="R38:R40"/>
    <mergeCell ref="Q26:Q28"/>
    <mergeCell ref="Q11:Q12"/>
    <mergeCell ref="Q13:Q14"/>
    <mergeCell ref="Q15:Q16"/>
    <mergeCell ref="Q17:Q18"/>
    <mergeCell ref="Q19:Q20"/>
    <mergeCell ref="Q21:Q22"/>
    <mergeCell ref="R11:R12"/>
    <mergeCell ref="R13:R14"/>
    <mergeCell ref="R15:R16"/>
    <mergeCell ref="R17:R18"/>
    <mergeCell ref="O5:O7"/>
    <mergeCell ref="O8:O10"/>
    <mergeCell ref="O29:O31"/>
    <mergeCell ref="O32:O34"/>
    <mergeCell ref="O35:O37"/>
    <mergeCell ref="O38:O40"/>
    <mergeCell ref="O26:O28"/>
    <mergeCell ref="P3:P4"/>
    <mergeCell ref="P5:P7"/>
    <mergeCell ref="P8:P10"/>
    <mergeCell ref="P29:P31"/>
    <mergeCell ref="P32:P34"/>
    <mergeCell ref="P35:P37"/>
    <mergeCell ref="P38:P40"/>
    <mergeCell ref="P11:P12"/>
    <mergeCell ref="P13:P14"/>
    <mergeCell ref="P15:P16"/>
    <mergeCell ref="P17:P18"/>
    <mergeCell ref="P19:P20"/>
    <mergeCell ref="P21:P22"/>
    <mergeCell ref="O11:O12"/>
    <mergeCell ref="O13:O14"/>
    <mergeCell ref="O15:O16"/>
    <mergeCell ref="O17:O18"/>
    <mergeCell ref="M5:M7"/>
    <mergeCell ref="M8:M10"/>
    <mergeCell ref="M29:M31"/>
    <mergeCell ref="M32:M34"/>
    <mergeCell ref="M35:M37"/>
    <mergeCell ref="M38:M40"/>
    <mergeCell ref="M26:M28"/>
    <mergeCell ref="N3:N4"/>
    <mergeCell ref="N5:N7"/>
    <mergeCell ref="N8:N10"/>
    <mergeCell ref="N29:N31"/>
    <mergeCell ref="N32:N34"/>
    <mergeCell ref="N35:N37"/>
    <mergeCell ref="N38:N40"/>
    <mergeCell ref="N26:N28"/>
    <mergeCell ref="M11:M12"/>
    <mergeCell ref="M13:M14"/>
    <mergeCell ref="M15:M16"/>
    <mergeCell ref="M17:M18"/>
    <mergeCell ref="M19:M20"/>
    <mergeCell ref="M21:M22"/>
    <mergeCell ref="N11:N12"/>
    <mergeCell ref="N13:N14"/>
    <mergeCell ref="N15:N16"/>
    <mergeCell ref="K5:K7"/>
    <mergeCell ref="K8:K10"/>
    <mergeCell ref="K11:K22"/>
    <mergeCell ref="K23:K25"/>
    <mergeCell ref="K29:K31"/>
    <mergeCell ref="K32:K34"/>
    <mergeCell ref="K35:K37"/>
    <mergeCell ref="K38:K40"/>
    <mergeCell ref="L3:L4"/>
    <mergeCell ref="L5:L7"/>
    <mergeCell ref="L8:L10"/>
    <mergeCell ref="L29:L31"/>
    <mergeCell ref="L32:L34"/>
    <mergeCell ref="L35:L37"/>
    <mergeCell ref="L38:L40"/>
    <mergeCell ref="L26:L28"/>
    <mergeCell ref="K26:K28"/>
    <mergeCell ref="L11:L12"/>
    <mergeCell ref="L13:L14"/>
    <mergeCell ref="L15:L16"/>
    <mergeCell ref="L17:L18"/>
    <mergeCell ref="L19:L20"/>
    <mergeCell ref="L21:L22"/>
    <mergeCell ref="I5:I7"/>
    <mergeCell ref="I8:I10"/>
    <mergeCell ref="I11:I22"/>
    <mergeCell ref="I23:I25"/>
    <mergeCell ref="I29:I31"/>
    <mergeCell ref="I32:I34"/>
    <mergeCell ref="I35:I37"/>
    <mergeCell ref="I38:I40"/>
    <mergeCell ref="J3:J4"/>
    <mergeCell ref="J5:J7"/>
    <mergeCell ref="J8:J10"/>
    <mergeCell ref="J11:J22"/>
    <mergeCell ref="J23:J25"/>
    <mergeCell ref="J29:J31"/>
    <mergeCell ref="J32:J34"/>
    <mergeCell ref="J35:J37"/>
    <mergeCell ref="J38:J40"/>
    <mergeCell ref="I26:I28"/>
    <mergeCell ref="J26:J28"/>
    <mergeCell ref="H5:H7"/>
    <mergeCell ref="H8:H10"/>
    <mergeCell ref="H11:H22"/>
    <mergeCell ref="H23:H25"/>
    <mergeCell ref="H29:H31"/>
    <mergeCell ref="H32:H34"/>
    <mergeCell ref="H35:H37"/>
    <mergeCell ref="H38:H40"/>
    <mergeCell ref="H26:H28"/>
    <mergeCell ref="G5:G7"/>
    <mergeCell ref="G8:G10"/>
    <mergeCell ref="G11:G22"/>
    <mergeCell ref="G23:G25"/>
    <mergeCell ref="G29:G31"/>
    <mergeCell ref="G32:G34"/>
    <mergeCell ref="G35:G37"/>
    <mergeCell ref="G38:G40"/>
    <mergeCell ref="G26:G28"/>
    <mergeCell ref="B35:B37"/>
    <mergeCell ref="F13:F14"/>
    <mergeCell ref="F17:F18"/>
    <mergeCell ref="F21:F22"/>
    <mergeCell ref="F15:F16"/>
    <mergeCell ref="F19:F20"/>
    <mergeCell ref="F26:F28"/>
    <mergeCell ref="D19:D20"/>
    <mergeCell ref="D17:D18"/>
    <mergeCell ref="D15:D16"/>
    <mergeCell ref="D13:D14"/>
    <mergeCell ref="D35:D37"/>
    <mergeCell ref="C26:C28"/>
    <mergeCell ref="D38:D40"/>
    <mergeCell ref="D23:D25"/>
    <mergeCell ref="D21:D22"/>
    <mergeCell ref="D11:D12"/>
    <mergeCell ref="D26:D28"/>
    <mergeCell ref="F5:F7"/>
    <mergeCell ref="F8:F10"/>
    <mergeCell ref="F23:F25"/>
    <mergeCell ref="F11:F12"/>
    <mergeCell ref="C5:C7"/>
    <mergeCell ref="C8:C10"/>
    <mergeCell ref="C11:C22"/>
    <mergeCell ref="C23:C25"/>
    <mergeCell ref="C29:C31"/>
    <mergeCell ref="C32:C34"/>
    <mergeCell ref="E5:E7"/>
    <mergeCell ref="E8:E10"/>
    <mergeCell ref="E11:E22"/>
    <mergeCell ref="E23:E25"/>
    <mergeCell ref="E29:E31"/>
    <mergeCell ref="E32:E34"/>
    <mergeCell ref="D5:D7"/>
    <mergeCell ref="D8:D10"/>
    <mergeCell ref="D29:D31"/>
    <mergeCell ref="D32:D34"/>
    <mergeCell ref="AC21:AC22"/>
    <mergeCell ref="E3:E4"/>
    <mergeCell ref="G3:G4"/>
    <mergeCell ref="H3:H4"/>
    <mergeCell ref="A42:K42"/>
    <mergeCell ref="A2:A4"/>
    <mergeCell ref="A5:A7"/>
    <mergeCell ref="A8:A10"/>
    <mergeCell ref="A11:A22"/>
    <mergeCell ref="A23:A25"/>
    <mergeCell ref="A29:A31"/>
    <mergeCell ref="A32:A34"/>
    <mergeCell ref="A35:A37"/>
    <mergeCell ref="B3:B4"/>
    <mergeCell ref="A26:A28"/>
    <mergeCell ref="B26:B28"/>
    <mergeCell ref="B5:B7"/>
    <mergeCell ref="B8:B10"/>
    <mergeCell ref="B11:B22"/>
    <mergeCell ref="B23:B25"/>
    <mergeCell ref="B29:B31"/>
    <mergeCell ref="A41:K41"/>
    <mergeCell ref="N17:N18"/>
    <mergeCell ref="N19:N20"/>
    <mergeCell ref="A1:AH1"/>
    <mergeCell ref="B2:F2"/>
    <mergeCell ref="G2:K2"/>
    <mergeCell ref="L2:N2"/>
    <mergeCell ref="O2:Q2"/>
    <mergeCell ref="R2:X2"/>
    <mergeCell ref="Y2:AG2"/>
    <mergeCell ref="R3:U3"/>
    <mergeCell ref="V3:X3"/>
    <mergeCell ref="Y3:AA3"/>
    <mergeCell ref="AB3:AF3"/>
    <mergeCell ref="I3:I4"/>
    <mergeCell ref="Q3:Q4"/>
    <mergeCell ref="K3:K4"/>
    <mergeCell ref="O3:O4"/>
    <mergeCell ref="AG3:AG4"/>
    <mergeCell ref="M3:M4"/>
    <mergeCell ref="C3:C4"/>
    <mergeCell ref="D3:D4"/>
    <mergeCell ref="F3:F4"/>
    <mergeCell ref="N21:N22"/>
    <mergeCell ref="U21:U22"/>
    <mergeCell ref="X11:X12"/>
    <mergeCell ref="V11:V12"/>
    <mergeCell ref="V13:V14"/>
    <mergeCell ref="X13:X14"/>
    <mergeCell ref="V15:V16"/>
    <mergeCell ref="X15:X16"/>
    <mergeCell ref="V17:V18"/>
    <mergeCell ref="X17:X18"/>
    <mergeCell ref="V19:V20"/>
    <mergeCell ref="X19:X20"/>
    <mergeCell ref="V21:V22"/>
    <mergeCell ref="X21:X22"/>
    <mergeCell ref="O19:O20"/>
    <mergeCell ref="O21:O22"/>
    <mergeCell ref="AC19:AC20"/>
    <mergeCell ref="Z11:Z12"/>
    <mergeCell ref="AA13:AA14"/>
    <mergeCell ref="AB13:AB14"/>
    <mergeCell ref="AC13:AC14"/>
    <mergeCell ref="Z15:Z16"/>
    <mergeCell ref="AA15:AA16"/>
    <mergeCell ref="AB15:AB16"/>
    <mergeCell ref="AC15:AC16"/>
    <mergeCell ref="Z17:Z18"/>
    <mergeCell ref="AA17:AA18"/>
    <mergeCell ref="AB17:AB18"/>
    <mergeCell ref="AA19:AA20"/>
    <mergeCell ref="AB19:AB20"/>
  </mergeCells>
  <phoneticPr fontId="37" type="noConversion"/>
  <conditionalFormatting sqref="R5:R28 R29:S34 S35:T37 R35:R40">
    <cfRule type="cellIs" dxfId="16" priority="5" operator="between">
      <formula>1000000</formula>
      <formula>2000000</formula>
    </cfRule>
    <cfRule type="cellIs" dxfId="15" priority="6" operator="greaterThan">
      <formula>2000000</formula>
    </cfRule>
  </conditionalFormatting>
  <conditionalFormatting sqref="X5:X40">
    <cfRule type="cellIs" dxfId="14" priority="1" operator="greaterThan">
      <formula>0</formula>
    </cfRule>
    <cfRule type="cellIs" dxfId="13" priority="2" operator="greaterThan">
      <formula>0</formula>
    </cfRule>
  </conditionalFormatting>
  <printOptions horizontalCentered="1"/>
  <pageMargins left="0.43307086614173201" right="0.39370078740157499" top="0.39370078740157499" bottom="0.39370078740157499" header="0.196850393700787" footer="0.23622047244094499"/>
  <pageSetup paperSize="8" fitToWidth="0" fitToHeight="0" orientation="landscape" r:id="rId1"/>
  <headerFooter alignWithMargins="0"/>
  <ignoredErrors>
    <ignoredError sqref="R30:S3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J123"/>
  <sheetViews>
    <sheetView zoomScaleNormal="100" workbookViewId="0">
      <pane xSplit="3" ySplit="4" topLeftCell="R107" activePane="bottomRight" state="frozen"/>
      <selection pane="topRight" activeCell="D1" sqref="D1"/>
      <selection pane="bottomLeft" activeCell="A5" sqref="A5"/>
      <selection pane="bottomRight" activeCell="AI116" sqref="AI116:AI118"/>
    </sheetView>
  </sheetViews>
  <sheetFormatPr defaultColWidth="9.140625" defaultRowHeight="24.95" customHeight="1" x14ac:dyDescent="0.2"/>
  <cols>
    <col min="1" max="1" width="3.7109375" style="311" customWidth="1"/>
    <col min="2" max="2" width="30.7109375" style="3" customWidth="1"/>
    <col min="3" max="3" width="8.28515625" style="3" customWidth="1"/>
    <col min="4" max="4" width="20.7109375" style="3" customWidth="1"/>
    <col min="5" max="5" width="8.28515625" style="3" customWidth="1"/>
    <col min="6" max="7" width="10.7109375" style="3" customWidth="1"/>
    <col min="8" max="8" width="15.7109375" style="3" customWidth="1"/>
    <col min="9" max="18" width="10.7109375" style="5" customWidth="1"/>
    <col min="19" max="19" width="10.7109375" style="6" customWidth="1"/>
    <col min="20" max="21" width="10.7109375" style="5" customWidth="1"/>
    <col min="22" max="22" width="10.7109375" style="7" customWidth="1"/>
    <col min="23" max="30" width="10.7109375" style="5" customWidth="1"/>
    <col min="31" max="32" width="10.7109375" style="8" customWidth="1"/>
    <col min="33" max="33" width="10.7109375" style="181" customWidth="1"/>
    <col min="34" max="34" width="10.7109375" style="9" customWidth="1"/>
    <col min="35" max="35" width="15.7109375" style="3" customWidth="1"/>
    <col min="36" max="36" width="20.7109375" style="1" customWidth="1"/>
    <col min="37" max="37" width="9.140625" style="1"/>
    <col min="38" max="38" width="12.85546875" style="1" customWidth="1"/>
    <col min="39" max="16384" width="9.140625" style="1"/>
  </cols>
  <sheetData>
    <row r="1" spans="1:36" ht="30" customHeight="1" thickBot="1" x14ac:dyDescent="0.25">
      <c r="A1" s="823" t="s">
        <v>1077</v>
      </c>
      <c r="B1" s="823"/>
      <c r="C1" s="823"/>
      <c r="D1" s="823"/>
      <c r="E1" s="823"/>
      <c r="F1" s="823"/>
      <c r="G1" s="823"/>
      <c r="H1" s="823"/>
      <c r="I1" s="823"/>
      <c r="J1" s="823"/>
      <c r="K1" s="823"/>
      <c r="L1" s="823"/>
      <c r="M1" s="823"/>
      <c r="N1" s="823"/>
      <c r="O1" s="823"/>
      <c r="P1" s="823"/>
      <c r="Q1" s="823"/>
      <c r="R1" s="823"/>
      <c r="S1" s="823"/>
      <c r="T1" s="823"/>
      <c r="U1" s="823"/>
      <c r="V1" s="823"/>
      <c r="W1" s="823"/>
      <c r="X1" s="823"/>
      <c r="Y1" s="823"/>
      <c r="Z1" s="823"/>
      <c r="AA1" s="823"/>
      <c r="AB1" s="823"/>
      <c r="AC1" s="823"/>
      <c r="AD1" s="823"/>
      <c r="AE1" s="823"/>
      <c r="AF1" s="823"/>
      <c r="AG1" s="823"/>
      <c r="AH1" s="823"/>
      <c r="AI1" s="823"/>
    </row>
    <row r="2" spans="1:36" ht="24.95" customHeight="1" x14ac:dyDescent="0.2">
      <c r="A2" s="824" t="s">
        <v>1</v>
      </c>
      <c r="B2" s="827" t="s">
        <v>2</v>
      </c>
      <c r="C2" s="828"/>
      <c r="D2" s="318"/>
      <c r="E2" s="271"/>
      <c r="F2" s="271"/>
      <c r="G2" s="829" t="s">
        <v>210</v>
      </c>
      <c r="H2" s="830"/>
      <c r="I2" s="831" t="s">
        <v>835</v>
      </c>
      <c r="J2" s="832"/>
      <c r="K2" s="833"/>
      <c r="L2" s="831" t="s">
        <v>4</v>
      </c>
      <c r="M2" s="832"/>
      <c r="N2" s="833"/>
      <c r="O2" s="834" t="s">
        <v>841</v>
      </c>
      <c r="P2" s="835"/>
      <c r="Q2" s="835"/>
      <c r="R2" s="835"/>
      <c r="S2" s="835"/>
      <c r="T2" s="835"/>
      <c r="U2" s="836"/>
      <c r="V2" s="837" t="s">
        <v>842</v>
      </c>
      <c r="W2" s="838"/>
      <c r="X2" s="838"/>
      <c r="Y2" s="838"/>
      <c r="Z2" s="838"/>
      <c r="AA2" s="838"/>
      <c r="AB2" s="838"/>
      <c r="AC2" s="838"/>
      <c r="AD2" s="838"/>
      <c r="AE2" s="838"/>
      <c r="AF2" s="838"/>
      <c r="AG2" s="838"/>
      <c r="AH2" s="839"/>
      <c r="AI2" s="840" t="s">
        <v>8</v>
      </c>
      <c r="AJ2" s="528"/>
    </row>
    <row r="3" spans="1:36" ht="24.95" customHeight="1" x14ac:dyDescent="0.2">
      <c r="A3" s="825"/>
      <c r="B3" s="815" t="s">
        <v>9</v>
      </c>
      <c r="C3" s="815" t="s">
        <v>213</v>
      </c>
      <c r="D3" s="817" t="s">
        <v>10</v>
      </c>
      <c r="E3" s="818" t="s">
        <v>214</v>
      </c>
      <c r="F3" s="818" t="s">
        <v>11</v>
      </c>
      <c r="G3" s="819" t="s">
        <v>815</v>
      </c>
      <c r="H3" s="819" t="s">
        <v>816</v>
      </c>
      <c r="I3" s="854" t="s">
        <v>17</v>
      </c>
      <c r="J3" s="854" t="s">
        <v>18</v>
      </c>
      <c r="K3" s="854" t="s">
        <v>215</v>
      </c>
      <c r="L3" s="854" t="s">
        <v>17</v>
      </c>
      <c r="M3" s="854" t="s">
        <v>18</v>
      </c>
      <c r="N3" s="854" t="s">
        <v>215</v>
      </c>
      <c r="O3" s="843" t="s">
        <v>216</v>
      </c>
      <c r="P3" s="844"/>
      <c r="Q3" s="844"/>
      <c r="R3" s="845"/>
      <c r="S3" s="846" t="s">
        <v>5</v>
      </c>
      <c r="T3" s="847"/>
      <c r="U3" s="848"/>
      <c r="V3" s="849" t="s">
        <v>217</v>
      </c>
      <c r="W3" s="850"/>
      <c r="X3" s="851"/>
      <c r="Y3" s="849" t="s">
        <v>6</v>
      </c>
      <c r="Z3" s="850"/>
      <c r="AA3" s="850"/>
      <c r="AB3" s="850"/>
      <c r="AC3" s="850"/>
      <c r="AD3" s="850"/>
      <c r="AE3" s="850"/>
      <c r="AF3" s="850"/>
      <c r="AG3" s="851"/>
      <c r="AH3" s="852" t="s">
        <v>7</v>
      </c>
      <c r="AI3" s="841"/>
      <c r="AJ3" s="528"/>
    </row>
    <row r="4" spans="1:36" ht="24.95" customHeight="1" x14ac:dyDescent="0.2">
      <c r="A4" s="826"/>
      <c r="B4" s="816"/>
      <c r="C4" s="816"/>
      <c r="D4" s="815"/>
      <c r="E4" s="819"/>
      <c r="F4" s="819"/>
      <c r="G4" s="820"/>
      <c r="H4" s="820"/>
      <c r="I4" s="855"/>
      <c r="J4" s="855"/>
      <c r="K4" s="855"/>
      <c r="L4" s="855"/>
      <c r="M4" s="855"/>
      <c r="N4" s="855"/>
      <c r="O4" s="272" t="s">
        <v>17</v>
      </c>
      <c r="P4" s="272" t="s">
        <v>18</v>
      </c>
      <c r="Q4" s="272" t="s">
        <v>215</v>
      </c>
      <c r="R4" s="272" t="s">
        <v>218</v>
      </c>
      <c r="S4" s="273" t="s">
        <v>219</v>
      </c>
      <c r="T4" s="272" t="s">
        <v>19</v>
      </c>
      <c r="U4" s="272" t="s">
        <v>20</v>
      </c>
      <c r="V4" s="274" t="s">
        <v>220</v>
      </c>
      <c r="W4" s="275" t="s">
        <v>221</v>
      </c>
      <c r="X4" s="275" t="s">
        <v>20</v>
      </c>
      <c r="Y4" s="275" t="s">
        <v>810</v>
      </c>
      <c r="Z4" s="275" t="s">
        <v>811</v>
      </c>
      <c r="AA4" s="275" t="s">
        <v>812</v>
      </c>
      <c r="AB4" s="275" t="s">
        <v>813</v>
      </c>
      <c r="AC4" s="275" t="s">
        <v>843</v>
      </c>
      <c r="AD4" s="275" t="s">
        <v>814</v>
      </c>
      <c r="AE4" s="276" t="s">
        <v>21</v>
      </c>
      <c r="AF4" s="276" t="s">
        <v>22</v>
      </c>
      <c r="AG4" s="275" t="s">
        <v>23</v>
      </c>
      <c r="AH4" s="853"/>
      <c r="AI4" s="842"/>
      <c r="AJ4" s="528"/>
    </row>
    <row r="5" spans="1:36" ht="24.95" customHeight="1" x14ac:dyDescent="0.2">
      <c r="A5" s="856">
        <v>1</v>
      </c>
      <c r="B5" s="858" t="s">
        <v>746</v>
      </c>
      <c r="C5" s="860" t="s">
        <v>748</v>
      </c>
      <c r="D5" s="821" t="s">
        <v>789</v>
      </c>
      <c r="E5" s="862" t="s">
        <v>747</v>
      </c>
      <c r="F5" s="822" t="s">
        <v>786</v>
      </c>
      <c r="G5" s="270" t="s">
        <v>651</v>
      </c>
      <c r="H5" s="270" t="s">
        <v>575</v>
      </c>
      <c r="I5" s="795">
        <v>47455</v>
      </c>
      <c r="J5" s="798"/>
      <c r="K5" s="798"/>
      <c r="L5" s="795">
        <v>46980.45</v>
      </c>
      <c r="M5" s="798"/>
      <c r="N5" s="798"/>
      <c r="O5" s="783">
        <f>L5</f>
        <v>46980.45</v>
      </c>
      <c r="P5" s="795">
        <f>M5</f>
        <v>0</v>
      </c>
      <c r="Q5" s="795">
        <f>N5</f>
        <v>0</v>
      </c>
      <c r="R5" s="783">
        <f>SUM(O5:Q7)</f>
        <v>46980.45</v>
      </c>
      <c r="S5" s="786">
        <f>R5</f>
        <v>46980.45</v>
      </c>
      <c r="T5" s="867">
        <v>46980.45</v>
      </c>
      <c r="U5" s="783">
        <f>S5-T5-T6-T7</f>
        <v>0</v>
      </c>
      <c r="V5" s="864">
        <f>O5*0.8</f>
        <v>37584.36</v>
      </c>
      <c r="W5" s="867">
        <v>37584.36</v>
      </c>
      <c r="X5" s="783">
        <f>V5-W5-W6-W7</f>
        <v>0</v>
      </c>
      <c r="Y5" s="783">
        <f t="shared" ref="Y5" si="0">S5*0.17/1.065</f>
        <v>7499.2267605633815</v>
      </c>
      <c r="Z5" s="287"/>
      <c r="AA5" s="287"/>
      <c r="AB5" s="783">
        <f t="shared" ref="AB5" si="1">V5*0.2/1.065</f>
        <v>7058.095774647888</v>
      </c>
      <c r="AC5" s="287"/>
      <c r="AD5" s="287"/>
      <c r="AE5" s="277"/>
      <c r="AF5" s="277"/>
      <c r="AG5" s="288"/>
      <c r="AH5" s="792">
        <f>V5-Y5-AB5-AG5-AG6-AG7</f>
        <v>23027.037464788729</v>
      </c>
      <c r="AI5" s="774"/>
      <c r="AJ5" s="43"/>
    </row>
    <row r="6" spans="1:36" ht="24.95" customHeight="1" x14ac:dyDescent="0.2">
      <c r="A6" s="857"/>
      <c r="B6" s="859"/>
      <c r="C6" s="861"/>
      <c r="D6" s="821"/>
      <c r="E6" s="863"/>
      <c r="F6" s="822"/>
      <c r="G6" s="270" t="s">
        <v>817</v>
      </c>
      <c r="H6" s="270" t="s">
        <v>819</v>
      </c>
      <c r="I6" s="796"/>
      <c r="J6" s="799"/>
      <c r="K6" s="799"/>
      <c r="L6" s="796"/>
      <c r="M6" s="799"/>
      <c r="N6" s="799"/>
      <c r="O6" s="784"/>
      <c r="P6" s="796"/>
      <c r="Q6" s="796"/>
      <c r="R6" s="784"/>
      <c r="S6" s="787"/>
      <c r="T6" s="868"/>
      <c r="U6" s="784"/>
      <c r="V6" s="865"/>
      <c r="W6" s="868"/>
      <c r="X6" s="784"/>
      <c r="Y6" s="784"/>
      <c r="Z6" s="287"/>
      <c r="AA6" s="287"/>
      <c r="AB6" s="784"/>
      <c r="AC6" s="287"/>
      <c r="AD6" s="287"/>
      <c r="AE6" s="277"/>
      <c r="AF6" s="277"/>
      <c r="AG6" s="288"/>
      <c r="AH6" s="793"/>
      <c r="AI6" s="775"/>
      <c r="AJ6" s="43"/>
    </row>
    <row r="7" spans="1:36" ht="24.95" customHeight="1" x14ac:dyDescent="0.2">
      <c r="A7" s="857"/>
      <c r="B7" s="859"/>
      <c r="C7" s="861"/>
      <c r="D7" s="821"/>
      <c r="E7" s="863"/>
      <c r="F7" s="822"/>
      <c r="G7" s="270" t="s">
        <v>818</v>
      </c>
      <c r="H7" s="270" t="s">
        <v>585</v>
      </c>
      <c r="I7" s="797"/>
      <c r="J7" s="800"/>
      <c r="K7" s="800"/>
      <c r="L7" s="797"/>
      <c r="M7" s="800"/>
      <c r="N7" s="800"/>
      <c r="O7" s="785"/>
      <c r="P7" s="797"/>
      <c r="Q7" s="797"/>
      <c r="R7" s="785"/>
      <c r="S7" s="788"/>
      <c r="T7" s="869"/>
      <c r="U7" s="785"/>
      <c r="V7" s="866"/>
      <c r="W7" s="869"/>
      <c r="X7" s="785"/>
      <c r="Y7" s="785"/>
      <c r="Z7" s="287"/>
      <c r="AA7" s="287"/>
      <c r="AB7" s="785"/>
      <c r="AC7" s="287"/>
      <c r="AD7" s="287"/>
      <c r="AE7" s="277"/>
      <c r="AF7" s="277"/>
      <c r="AG7" s="288"/>
      <c r="AH7" s="794"/>
      <c r="AI7" s="776"/>
      <c r="AJ7" s="43"/>
    </row>
    <row r="8" spans="1:36" ht="24.95" customHeight="1" x14ac:dyDescent="0.2">
      <c r="A8" s="857"/>
      <c r="B8" s="859"/>
      <c r="C8" s="861"/>
      <c r="D8" s="821" t="s">
        <v>788</v>
      </c>
      <c r="E8" s="863"/>
      <c r="F8" s="822" t="s">
        <v>787</v>
      </c>
      <c r="G8" s="870"/>
      <c r="H8" s="871"/>
      <c r="I8" s="795">
        <v>107843</v>
      </c>
      <c r="J8" s="798"/>
      <c r="K8" s="798"/>
      <c r="L8" s="795">
        <v>106764.57</v>
      </c>
      <c r="M8" s="798"/>
      <c r="N8" s="798"/>
      <c r="O8" s="783">
        <f>L8</f>
        <v>106764.57</v>
      </c>
      <c r="P8" s="795">
        <f t="shared" ref="P8:Q8" si="2">M8</f>
        <v>0</v>
      </c>
      <c r="Q8" s="795">
        <f t="shared" si="2"/>
        <v>0</v>
      </c>
      <c r="R8" s="783">
        <f>SUM(O8:Q10)</f>
        <v>106764.57</v>
      </c>
      <c r="S8" s="786">
        <f>R8</f>
        <v>106764.57</v>
      </c>
      <c r="T8" s="867">
        <v>106764.57</v>
      </c>
      <c r="U8" s="783">
        <f>S8-T8-T9-T10</f>
        <v>0</v>
      </c>
      <c r="V8" s="864">
        <f>O8*0.8</f>
        <v>85411.656000000017</v>
      </c>
      <c r="W8" s="867">
        <v>85411.66</v>
      </c>
      <c r="X8" s="783">
        <f>V8-W8-W9-W10</f>
        <v>-3.999999986262992E-3</v>
      </c>
      <c r="Y8" s="783">
        <f t="shared" ref="Y8" si="3">S8*0.17/1.065</f>
        <v>17042.231830985918</v>
      </c>
      <c r="Z8" s="287"/>
      <c r="AA8" s="287"/>
      <c r="AB8" s="783">
        <f t="shared" ref="AB8" si="4">V8*0.2/1.065</f>
        <v>16039.747605633807</v>
      </c>
      <c r="AC8" s="287"/>
      <c r="AD8" s="287"/>
      <c r="AE8" s="278" t="s">
        <v>617</v>
      </c>
      <c r="AF8" s="278" t="s">
        <v>749</v>
      </c>
      <c r="AG8" s="290">
        <f>0.5*2500</f>
        <v>1250</v>
      </c>
      <c r="AH8" s="792">
        <f>V8-Y8-AB8-AG8-AG9-AG10</f>
        <v>50479.676563380286</v>
      </c>
      <c r="AI8" s="774"/>
      <c r="AJ8" s="43"/>
    </row>
    <row r="9" spans="1:36" ht="24.95" customHeight="1" x14ac:dyDescent="0.2">
      <c r="A9" s="857"/>
      <c r="B9" s="859"/>
      <c r="C9" s="861"/>
      <c r="D9" s="821"/>
      <c r="E9" s="863"/>
      <c r="F9" s="822"/>
      <c r="G9" s="872"/>
      <c r="H9" s="873"/>
      <c r="I9" s="796"/>
      <c r="J9" s="799"/>
      <c r="K9" s="799"/>
      <c r="L9" s="796"/>
      <c r="M9" s="799"/>
      <c r="N9" s="799"/>
      <c r="O9" s="784"/>
      <c r="P9" s="796"/>
      <c r="Q9" s="796"/>
      <c r="R9" s="784"/>
      <c r="S9" s="787"/>
      <c r="T9" s="868"/>
      <c r="U9" s="784"/>
      <c r="V9" s="865"/>
      <c r="W9" s="868"/>
      <c r="X9" s="784"/>
      <c r="Y9" s="784"/>
      <c r="Z9" s="287"/>
      <c r="AA9" s="287"/>
      <c r="AB9" s="784"/>
      <c r="AC9" s="287"/>
      <c r="AD9" s="287"/>
      <c r="AE9" s="278" t="s">
        <v>617</v>
      </c>
      <c r="AF9" s="278" t="s">
        <v>592</v>
      </c>
      <c r="AG9" s="290">
        <f>4*150</f>
        <v>600</v>
      </c>
      <c r="AH9" s="793"/>
      <c r="AI9" s="775"/>
      <c r="AJ9" s="43"/>
    </row>
    <row r="10" spans="1:36" ht="24.95" customHeight="1" x14ac:dyDescent="0.2">
      <c r="A10" s="857"/>
      <c r="B10" s="859"/>
      <c r="C10" s="861"/>
      <c r="D10" s="821"/>
      <c r="E10" s="863"/>
      <c r="F10" s="822"/>
      <c r="G10" s="874"/>
      <c r="H10" s="875"/>
      <c r="I10" s="797"/>
      <c r="J10" s="800"/>
      <c r="K10" s="800"/>
      <c r="L10" s="797"/>
      <c r="M10" s="800"/>
      <c r="N10" s="800"/>
      <c r="O10" s="785"/>
      <c r="P10" s="797"/>
      <c r="Q10" s="797"/>
      <c r="R10" s="785"/>
      <c r="S10" s="788"/>
      <c r="T10" s="869"/>
      <c r="U10" s="785"/>
      <c r="V10" s="866"/>
      <c r="W10" s="869"/>
      <c r="X10" s="785"/>
      <c r="Y10" s="785"/>
      <c r="Z10" s="287"/>
      <c r="AA10" s="287"/>
      <c r="AB10" s="785"/>
      <c r="AC10" s="287"/>
      <c r="AD10" s="287"/>
      <c r="AE10" s="277"/>
      <c r="AF10" s="277"/>
      <c r="AG10" s="288"/>
      <c r="AH10" s="794"/>
      <c r="AI10" s="776"/>
      <c r="AJ10" s="43"/>
    </row>
    <row r="11" spans="1:36" ht="24.75" customHeight="1" x14ac:dyDescent="0.2">
      <c r="A11" s="914">
        <v>2</v>
      </c>
      <c r="B11" s="880" t="s">
        <v>750</v>
      </c>
      <c r="C11" s="860">
        <v>2023.4</v>
      </c>
      <c r="D11" s="821" t="s">
        <v>865</v>
      </c>
      <c r="E11" s="862" t="s">
        <v>747</v>
      </c>
      <c r="F11" s="895" t="s">
        <v>751</v>
      </c>
      <c r="G11" s="270" t="s">
        <v>651</v>
      </c>
      <c r="H11" s="270" t="s">
        <v>586</v>
      </c>
      <c r="I11" s="795">
        <v>50194</v>
      </c>
      <c r="J11" s="795">
        <v>8858</v>
      </c>
      <c r="K11" s="798"/>
      <c r="L11" s="795">
        <f>I11</f>
        <v>50194</v>
      </c>
      <c r="M11" s="795">
        <f>J11</f>
        <v>8858</v>
      </c>
      <c r="N11" s="798"/>
      <c r="O11" s="783">
        <f t="shared" ref="O11:Q11" si="5">L11</f>
        <v>50194</v>
      </c>
      <c r="P11" s="795">
        <f t="shared" si="5"/>
        <v>8858</v>
      </c>
      <c r="Q11" s="795">
        <f t="shared" si="5"/>
        <v>0</v>
      </c>
      <c r="R11" s="783">
        <f>SUM(O11:Q13)</f>
        <v>59052</v>
      </c>
      <c r="S11" s="786">
        <f>R11</f>
        <v>59052</v>
      </c>
      <c r="T11" s="287">
        <v>54033</v>
      </c>
      <c r="U11" s="783">
        <f>S11-T11-T12-T13</f>
        <v>5019</v>
      </c>
      <c r="V11" s="789">
        <f>S11*0.8</f>
        <v>47241.600000000006</v>
      </c>
      <c r="W11" s="287">
        <f>T11*0.8</f>
        <v>43226.400000000001</v>
      </c>
      <c r="X11" s="783">
        <f>V11-W11-W12-W13</f>
        <v>4015.2000000000044</v>
      </c>
      <c r="Y11" s="783">
        <f t="shared" ref="Y11" si="6">S11*0.17/1.065</f>
        <v>9426.1408450704239</v>
      </c>
      <c r="Z11" s="287"/>
      <c r="AA11" s="287"/>
      <c r="AB11" s="783">
        <f t="shared" ref="AB11" si="7">V11*0.2/1.065</f>
        <v>8871.6619718309885</v>
      </c>
      <c r="AC11" s="287"/>
      <c r="AD11" s="287"/>
      <c r="AE11" s="277"/>
      <c r="AF11" s="277"/>
      <c r="AG11" s="288"/>
      <c r="AH11" s="792">
        <f>V11-Y11-AB11-AG11-AG12-AG13</f>
        <v>28943.797183098592</v>
      </c>
      <c r="AI11" s="774"/>
      <c r="AJ11" s="43"/>
    </row>
    <row r="12" spans="1:36" ht="24.95" customHeight="1" x14ac:dyDescent="0.2">
      <c r="A12" s="915"/>
      <c r="B12" s="881"/>
      <c r="C12" s="861"/>
      <c r="D12" s="821"/>
      <c r="E12" s="863"/>
      <c r="F12" s="896"/>
      <c r="G12" s="270" t="s">
        <v>817</v>
      </c>
      <c r="H12" s="270" t="s">
        <v>827</v>
      </c>
      <c r="I12" s="796"/>
      <c r="J12" s="796"/>
      <c r="K12" s="799"/>
      <c r="L12" s="796"/>
      <c r="M12" s="796"/>
      <c r="N12" s="799"/>
      <c r="O12" s="784"/>
      <c r="P12" s="796"/>
      <c r="Q12" s="796"/>
      <c r="R12" s="784"/>
      <c r="S12" s="787"/>
      <c r="T12" s="287">
        <v>0</v>
      </c>
      <c r="U12" s="784"/>
      <c r="V12" s="790"/>
      <c r="W12" s="287"/>
      <c r="X12" s="784"/>
      <c r="Y12" s="784"/>
      <c r="Z12" s="287"/>
      <c r="AA12" s="287"/>
      <c r="AB12" s="784"/>
      <c r="AC12" s="287"/>
      <c r="AD12" s="287"/>
      <c r="AE12" s="277"/>
      <c r="AF12" s="277"/>
      <c r="AG12" s="288"/>
      <c r="AH12" s="793"/>
      <c r="AI12" s="775"/>
      <c r="AJ12" s="43"/>
    </row>
    <row r="13" spans="1:36" ht="24.95" customHeight="1" x14ac:dyDescent="0.2">
      <c r="A13" s="915"/>
      <c r="B13" s="881"/>
      <c r="C13" s="883"/>
      <c r="D13" s="880"/>
      <c r="E13" s="863"/>
      <c r="F13" s="896"/>
      <c r="G13" s="270" t="s">
        <v>818</v>
      </c>
      <c r="H13" s="270" t="s">
        <v>639</v>
      </c>
      <c r="I13" s="797"/>
      <c r="J13" s="797"/>
      <c r="K13" s="800"/>
      <c r="L13" s="797"/>
      <c r="M13" s="797"/>
      <c r="N13" s="800"/>
      <c r="O13" s="785"/>
      <c r="P13" s="797"/>
      <c r="Q13" s="797"/>
      <c r="R13" s="785"/>
      <c r="S13" s="788"/>
      <c r="T13" s="287">
        <v>0</v>
      </c>
      <c r="U13" s="785"/>
      <c r="V13" s="791"/>
      <c r="W13" s="287"/>
      <c r="X13" s="785"/>
      <c r="Y13" s="785"/>
      <c r="Z13" s="287"/>
      <c r="AA13" s="287"/>
      <c r="AB13" s="785"/>
      <c r="AC13" s="287"/>
      <c r="AD13" s="287"/>
      <c r="AE13" s="277"/>
      <c r="AF13" s="277"/>
      <c r="AG13" s="288"/>
      <c r="AH13" s="794"/>
      <c r="AI13" s="776"/>
      <c r="AJ13" s="43"/>
    </row>
    <row r="14" spans="1:36" ht="24.75" customHeight="1" x14ac:dyDescent="0.2">
      <c r="A14" s="915"/>
      <c r="B14" s="881"/>
      <c r="C14" s="860">
        <v>2023.9</v>
      </c>
      <c r="D14" s="880" t="s">
        <v>864</v>
      </c>
      <c r="E14" s="863"/>
      <c r="F14" s="896"/>
      <c r="G14" s="870"/>
      <c r="H14" s="871"/>
      <c r="I14" s="795">
        <v>49791</v>
      </c>
      <c r="J14" s="798"/>
      <c r="K14" s="798"/>
      <c r="L14" s="783">
        <v>21097</v>
      </c>
      <c r="M14" s="795">
        <v>3723</v>
      </c>
      <c r="N14" s="798"/>
      <c r="O14" s="783">
        <v>21097</v>
      </c>
      <c r="P14" s="795">
        <v>3723</v>
      </c>
      <c r="Q14" s="795">
        <f t="shared" ref="Q14" si="8">N14</f>
        <v>0</v>
      </c>
      <c r="R14" s="783">
        <f>SUM(O14:Q16)</f>
        <v>24820</v>
      </c>
      <c r="S14" s="786">
        <f>R14</f>
        <v>24820</v>
      </c>
      <c r="T14" s="287">
        <v>24820</v>
      </c>
      <c r="U14" s="783">
        <f>S14-T14-T15-T16</f>
        <v>0</v>
      </c>
      <c r="V14" s="789">
        <f>S14*0.8</f>
        <v>19856</v>
      </c>
      <c r="W14" s="287">
        <f>T14*0.8</f>
        <v>19856</v>
      </c>
      <c r="X14" s="783">
        <f>V14-W14-W15-W16</f>
        <v>0</v>
      </c>
      <c r="Y14" s="783">
        <f t="shared" ref="Y14" si="9">S14*0.17/1.065</f>
        <v>3961.877934272301</v>
      </c>
      <c r="Z14" s="287"/>
      <c r="AA14" s="287"/>
      <c r="AB14" s="783">
        <f t="shared" ref="AB14" si="10">V14*0.2/1.065</f>
        <v>3728.8262910798126</v>
      </c>
      <c r="AC14" s="287"/>
      <c r="AD14" s="287"/>
      <c r="AE14" s="277"/>
      <c r="AF14" s="277"/>
      <c r="AG14" s="288"/>
      <c r="AH14" s="792">
        <f>V14-Y14-AB14-AG14-AG15-AG16</f>
        <v>12165.295774647886</v>
      </c>
      <c r="AI14" s="774"/>
      <c r="AJ14" s="43"/>
    </row>
    <row r="15" spans="1:36" ht="24.95" customHeight="1" x14ac:dyDescent="0.2">
      <c r="A15" s="915"/>
      <c r="B15" s="881"/>
      <c r="C15" s="861"/>
      <c r="D15" s="881"/>
      <c r="E15" s="863"/>
      <c r="F15" s="896"/>
      <c r="G15" s="872"/>
      <c r="H15" s="873"/>
      <c r="I15" s="796"/>
      <c r="J15" s="799"/>
      <c r="K15" s="799"/>
      <c r="L15" s="784"/>
      <c r="M15" s="796"/>
      <c r="N15" s="799"/>
      <c r="O15" s="784"/>
      <c r="P15" s="796"/>
      <c r="Q15" s="796"/>
      <c r="R15" s="784"/>
      <c r="S15" s="787"/>
      <c r="T15" s="287">
        <v>0</v>
      </c>
      <c r="U15" s="784"/>
      <c r="V15" s="790"/>
      <c r="W15" s="287"/>
      <c r="X15" s="784"/>
      <c r="Y15" s="784"/>
      <c r="Z15" s="287"/>
      <c r="AA15" s="287"/>
      <c r="AB15" s="784"/>
      <c r="AC15" s="287"/>
      <c r="AD15" s="287"/>
      <c r="AE15" s="277"/>
      <c r="AF15" s="277"/>
      <c r="AG15" s="288"/>
      <c r="AH15" s="793"/>
      <c r="AI15" s="775"/>
      <c r="AJ15" s="43"/>
    </row>
    <row r="16" spans="1:36" ht="24.95" customHeight="1" x14ac:dyDescent="0.2">
      <c r="A16" s="915"/>
      <c r="B16" s="881"/>
      <c r="C16" s="883"/>
      <c r="D16" s="882"/>
      <c r="E16" s="863"/>
      <c r="F16" s="896"/>
      <c r="G16" s="872"/>
      <c r="H16" s="873"/>
      <c r="I16" s="797"/>
      <c r="J16" s="800"/>
      <c r="K16" s="800"/>
      <c r="L16" s="785"/>
      <c r="M16" s="797"/>
      <c r="N16" s="800"/>
      <c r="O16" s="785"/>
      <c r="P16" s="797"/>
      <c r="Q16" s="797"/>
      <c r="R16" s="785"/>
      <c r="S16" s="788"/>
      <c r="T16" s="287">
        <v>0</v>
      </c>
      <c r="U16" s="785"/>
      <c r="V16" s="791"/>
      <c r="W16" s="287"/>
      <c r="X16" s="785"/>
      <c r="Y16" s="785"/>
      <c r="Z16" s="287"/>
      <c r="AA16" s="287"/>
      <c r="AB16" s="785"/>
      <c r="AC16" s="287"/>
      <c r="AD16" s="287"/>
      <c r="AE16" s="277"/>
      <c r="AF16" s="277"/>
      <c r="AG16" s="288"/>
      <c r="AH16" s="794"/>
      <c r="AI16" s="776"/>
      <c r="AJ16" s="43"/>
    </row>
    <row r="17" spans="1:36" ht="24.95" customHeight="1" x14ac:dyDescent="0.2">
      <c r="A17" s="915"/>
      <c r="B17" s="881"/>
      <c r="C17" s="860">
        <v>2023.9</v>
      </c>
      <c r="D17" s="880" t="s">
        <v>869</v>
      </c>
      <c r="E17" s="863"/>
      <c r="F17" s="896"/>
      <c r="G17" s="872"/>
      <c r="H17" s="873"/>
      <c r="I17" s="795">
        <v>49831</v>
      </c>
      <c r="J17" s="798"/>
      <c r="K17" s="798"/>
      <c r="L17" s="783">
        <v>21774</v>
      </c>
      <c r="M17" s="795">
        <v>3843</v>
      </c>
      <c r="N17" s="798"/>
      <c r="O17" s="783">
        <v>21774</v>
      </c>
      <c r="P17" s="795">
        <v>3843</v>
      </c>
      <c r="Q17" s="795">
        <f t="shared" ref="Q17" si="11">N17</f>
        <v>0</v>
      </c>
      <c r="R17" s="783">
        <f>SUM(O17:Q19)</f>
        <v>25617</v>
      </c>
      <c r="S17" s="786">
        <f>R17</f>
        <v>25617</v>
      </c>
      <c r="T17" s="287">
        <v>25617</v>
      </c>
      <c r="U17" s="783">
        <f>S17-T17-T18-T19</f>
        <v>0</v>
      </c>
      <c r="V17" s="789">
        <f>S17*0.8</f>
        <v>20493.600000000002</v>
      </c>
      <c r="W17" s="287">
        <f>T17*0.8</f>
        <v>20493.600000000002</v>
      </c>
      <c r="X17" s="783">
        <f>V17-W17-W18-W19</f>
        <v>0</v>
      </c>
      <c r="Y17" s="783">
        <f t="shared" ref="Y17" si="12">S17*0.17/1.065</f>
        <v>4089.0985915492961</v>
      </c>
      <c r="Z17" s="287"/>
      <c r="AA17" s="287"/>
      <c r="AB17" s="783">
        <f t="shared" ref="AB17" si="13">V17*0.2/1.065</f>
        <v>3848.5633802816906</v>
      </c>
      <c r="AC17" s="287"/>
      <c r="AD17" s="287"/>
      <c r="AE17" s="277"/>
      <c r="AF17" s="277"/>
      <c r="AG17" s="288"/>
      <c r="AH17" s="792">
        <f>V17-Y17-AB17-AG17-AG18-AG19</f>
        <v>12555.938028169016</v>
      </c>
      <c r="AI17" s="774"/>
      <c r="AJ17" s="43"/>
    </row>
    <row r="18" spans="1:36" ht="24.95" customHeight="1" x14ac:dyDescent="0.2">
      <c r="A18" s="915"/>
      <c r="B18" s="881"/>
      <c r="C18" s="861"/>
      <c r="D18" s="881"/>
      <c r="E18" s="863"/>
      <c r="F18" s="896"/>
      <c r="G18" s="872"/>
      <c r="H18" s="873"/>
      <c r="I18" s="796"/>
      <c r="J18" s="799"/>
      <c r="K18" s="799"/>
      <c r="L18" s="784"/>
      <c r="M18" s="796"/>
      <c r="N18" s="799"/>
      <c r="O18" s="784"/>
      <c r="P18" s="796"/>
      <c r="Q18" s="796"/>
      <c r="R18" s="784"/>
      <c r="S18" s="787"/>
      <c r="T18" s="287">
        <v>0</v>
      </c>
      <c r="U18" s="784"/>
      <c r="V18" s="790"/>
      <c r="W18" s="287"/>
      <c r="X18" s="784"/>
      <c r="Y18" s="784"/>
      <c r="Z18" s="287"/>
      <c r="AA18" s="287"/>
      <c r="AB18" s="784"/>
      <c r="AC18" s="287"/>
      <c r="AD18" s="287"/>
      <c r="AE18" s="277"/>
      <c r="AF18" s="277"/>
      <c r="AG18" s="288"/>
      <c r="AH18" s="793"/>
      <c r="AI18" s="775"/>
      <c r="AJ18" s="43"/>
    </row>
    <row r="19" spans="1:36" ht="24.95" customHeight="1" x14ac:dyDescent="0.2">
      <c r="A19" s="915"/>
      <c r="B19" s="881"/>
      <c r="C19" s="883"/>
      <c r="D19" s="882"/>
      <c r="E19" s="863"/>
      <c r="F19" s="896"/>
      <c r="G19" s="872"/>
      <c r="H19" s="873"/>
      <c r="I19" s="797"/>
      <c r="J19" s="800"/>
      <c r="K19" s="800"/>
      <c r="L19" s="785"/>
      <c r="M19" s="797"/>
      <c r="N19" s="800"/>
      <c r="O19" s="785"/>
      <c r="P19" s="797"/>
      <c r="Q19" s="797"/>
      <c r="R19" s="785"/>
      <c r="S19" s="788"/>
      <c r="T19" s="287">
        <v>0</v>
      </c>
      <c r="U19" s="785"/>
      <c r="V19" s="791"/>
      <c r="W19" s="287"/>
      <c r="X19" s="785"/>
      <c r="Y19" s="785"/>
      <c r="Z19" s="287"/>
      <c r="AA19" s="287"/>
      <c r="AB19" s="785"/>
      <c r="AC19" s="287"/>
      <c r="AD19" s="287"/>
      <c r="AE19" s="277"/>
      <c r="AF19" s="277"/>
      <c r="AG19" s="288"/>
      <c r="AH19" s="794"/>
      <c r="AI19" s="776"/>
      <c r="AJ19" s="43"/>
    </row>
    <row r="20" spans="1:36" ht="24.95" customHeight="1" x14ac:dyDescent="0.2">
      <c r="A20" s="915"/>
      <c r="B20" s="881"/>
      <c r="C20" s="860">
        <v>2023.9</v>
      </c>
      <c r="D20" s="880" t="s">
        <v>868</v>
      </c>
      <c r="E20" s="863"/>
      <c r="F20" s="896"/>
      <c r="G20" s="872"/>
      <c r="H20" s="873"/>
      <c r="I20" s="795">
        <v>63593</v>
      </c>
      <c r="J20" s="798"/>
      <c r="K20" s="798"/>
      <c r="L20" s="783">
        <v>30914</v>
      </c>
      <c r="M20" s="795">
        <v>5455</v>
      </c>
      <c r="N20" s="798"/>
      <c r="O20" s="783">
        <v>30914</v>
      </c>
      <c r="P20" s="795">
        <v>5455</v>
      </c>
      <c r="Q20" s="795">
        <f t="shared" ref="Q20" si="14">N20</f>
        <v>0</v>
      </c>
      <c r="R20" s="783">
        <f>SUM(O20:Q22)</f>
        <v>36369</v>
      </c>
      <c r="S20" s="786">
        <f>R20</f>
        <v>36369</v>
      </c>
      <c r="T20" s="287">
        <v>36369</v>
      </c>
      <c r="U20" s="783">
        <f>S20-T20-T21-T22</f>
        <v>0</v>
      </c>
      <c r="V20" s="789">
        <f>S20*0.8</f>
        <v>29095.200000000001</v>
      </c>
      <c r="W20" s="287">
        <f>T20*0.8</f>
        <v>29095.200000000001</v>
      </c>
      <c r="X20" s="783">
        <f>V20-W20-W21-W22</f>
        <v>0</v>
      </c>
      <c r="Y20" s="783">
        <f t="shared" ref="Y20" si="15">S20*0.17/1.065</f>
        <v>5805.3802816901416</v>
      </c>
      <c r="Z20" s="287"/>
      <c r="AA20" s="287"/>
      <c r="AB20" s="783">
        <f t="shared" ref="AB20" si="16">V20*0.2/1.065</f>
        <v>5463.8873239436634</v>
      </c>
      <c r="AC20" s="287"/>
      <c r="AD20" s="287"/>
      <c r="AE20" s="277"/>
      <c r="AF20" s="277"/>
      <c r="AG20" s="288"/>
      <c r="AH20" s="792">
        <f>V20-Y20-AB20-AG20-AG21-AG22</f>
        <v>17825.932394366195</v>
      </c>
      <c r="AI20" s="774"/>
      <c r="AJ20" s="43"/>
    </row>
    <row r="21" spans="1:36" ht="24.95" customHeight="1" x14ac:dyDescent="0.2">
      <c r="A21" s="915"/>
      <c r="B21" s="881"/>
      <c r="C21" s="861"/>
      <c r="D21" s="881"/>
      <c r="E21" s="863"/>
      <c r="F21" s="896"/>
      <c r="G21" s="872"/>
      <c r="H21" s="873"/>
      <c r="I21" s="796"/>
      <c r="J21" s="799"/>
      <c r="K21" s="799"/>
      <c r="L21" s="784"/>
      <c r="M21" s="796"/>
      <c r="N21" s="799"/>
      <c r="O21" s="784"/>
      <c r="P21" s="796"/>
      <c r="Q21" s="796"/>
      <c r="R21" s="784"/>
      <c r="S21" s="787"/>
      <c r="T21" s="287">
        <v>0</v>
      </c>
      <c r="U21" s="784"/>
      <c r="V21" s="790"/>
      <c r="W21" s="287"/>
      <c r="X21" s="784"/>
      <c r="Y21" s="784"/>
      <c r="Z21" s="287"/>
      <c r="AA21" s="287"/>
      <c r="AB21" s="784"/>
      <c r="AC21" s="287"/>
      <c r="AD21" s="287"/>
      <c r="AE21" s="277"/>
      <c r="AF21" s="277"/>
      <c r="AG21" s="288"/>
      <c r="AH21" s="793"/>
      <c r="AI21" s="775"/>
      <c r="AJ21" s="43"/>
    </row>
    <row r="22" spans="1:36" ht="24.95" customHeight="1" x14ac:dyDescent="0.2">
      <c r="A22" s="915"/>
      <c r="B22" s="881"/>
      <c r="C22" s="883"/>
      <c r="D22" s="882"/>
      <c r="E22" s="863"/>
      <c r="F22" s="896"/>
      <c r="G22" s="872"/>
      <c r="H22" s="873"/>
      <c r="I22" s="797"/>
      <c r="J22" s="800"/>
      <c r="K22" s="800"/>
      <c r="L22" s="785"/>
      <c r="M22" s="797"/>
      <c r="N22" s="800"/>
      <c r="O22" s="785"/>
      <c r="P22" s="797"/>
      <c r="Q22" s="797"/>
      <c r="R22" s="785"/>
      <c r="S22" s="788"/>
      <c r="T22" s="287">
        <v>0</v>
      </c>
      <c r="U22" s="785"/>
      <c r="V22" s="791"/>
      <c r="W22" s="287"/>
      <c r="X22" s="785"/>
      <c r="Y22" s="785"/>
      <c r="Z22" s="287"/>
      <c r="AA22" s="287"/>
      <c r="AB22" s="785"/>
      <c r="AC22" s="287"/>
      <c r="AD22" s="287"/>
      <c r="AE22" s="277"/>
      <c r="AF22" s="277"/>
      <c r="AG22" s="288"/>
      <c r="AH22" s="794"/>
      <c r="AI22" s="776"/>
      <c r="AJ22" s="43"/>
    </row>
    <row r="23" spans="1:36" ht="24.95" customHeight="1" x14ac:dyDescent="0.2">
      <c r="A23" s="915"/>
      <c r="B23" s="881"/>
      <c r="C23" s="860">
        <v>2023.9</v>
      </c>
      <c r="D23" s="880" t="s">
        <v>867</v>
      </c>
      <c r="E23" s="863"/>
      <c r="F23" s="896"/>
      <c r="G23" s="872"/>
      <c r="H23" s="873"/>
      <c r="I23" s="795">
        <v>72659</v>
      </c>
      <c r="J23" s="798"/>
      <c r="K23" s="798"/>
      <c r="L23" s="783">
        <v>41134</v>
      </c>
      <c r="M23" s="795">
        <v>7259</v>
      </c>
      <c r="N23" s="798"/>
      <c r="O23" s="783">
        <v>41134</v>
      </c>
      <c r="P23" s="795">
        <v>7259</v>
      </c>
      <c r="Q23" s="795">
        <f t="shared" ref="Q23" si="17">N23</f>
        <v>0</v>
      </c>
      <c r="R23" s="783">
        <f>SUM(O23:Q25)</f>
        <v>48393</v>
      </c>
      <c r="S23" s="786">
        <f>R23</f>
        <v>48393</v>
      </c>
      <c r="T23" s="287">
        <v>48393</v>
      </c>
      <c r="U23" s="783">
        <f>S23-T23-T24-T25</f>
        <v>0</v>
      </c>
      <c r="V23" s="789">
        <f>S23*0.8</f>
        <v>38714.400000000001</v>
      </c>
      <c r="W23" s="287">
        <f>T23*0.8</f>
        <v>38714.400000000001</v>
      </c>
      <c r="X23" s="783">
        <f>V23-W23-W24-W25</f>
        <v>0</v>
      </c>
      <c r="Y23" s="783">
        <f t="shared" ref="Y23" si="18">S23*0.17/1.065</f>
        <v>7724.704225352114</v>
      </c>
      <c r="Z23" s="287"/>
      <c r="AA23" s="287"/>
      <c r="AB23" s="783">
        <f t="shared" ref="AB23" si="19">V23*0.2/1.065</f>
        <v>7270.3098591549306</v>
      </c>
      <c r="AC23" s="287"/>
      <c r="AD23" s="287"/>
      <c r="AE23" s="277"/>
      <c r="AF23" s="277"/>
      <c r="AG23" s="288"/>
      <c r="AH23" s="792">
        <f>V23-Y23-AB23-AG23-AG24-AG25</f>
        <v>23719.385915492956</v>
      </c>
      <c r="AI23" s="774"/>
      <c r="AJ23" s="43"/>
    </row>
    <row r="24" spans="1:36" ht="24.95" customHeight="1" x14ac:dyDescent="0.2">
      <c r="A24" s="915"/>
      <c r="B24" s="881"/>
      <c r="C24" s="861"/>
      <c r="D24" s="881"/>
      <c r="E24" s="863"/>
      <c r="F24" s="896"/>
      <c r="G24" s="872"/>
      <c r="H24" s="873"/>
      <c r="I24" s="796"/>
      <c r="J24" s="799"/>
      <c r="K24" s="799"/>
      <c r="L24" s="784"/>
      <c r="M24" s="796"/>
      <c r="N24" s="799"/>
      <c r="O24" s="784"/>
      <c r="P24" s="796"/>
      <c r="Q24" s="796"/>
      <c r="R24" s="784"/>
      <c r="S24" s="787"/>
      <c r="T24" s="287">
        <v>0</v>
      </c>
      <c r="U24" s="784"/>
      <c r="V24" s="790"/>
      <c r="W24" s="287"/>
      <c r="X24" s="784"/>
      <c r="Y24" s="784"/>
      <c r="Z24" s="287"/>
      <c r="AA24" s="287"/>
      <c r="AB24" s="784"/>
      <c r="AC24" s="287"/>
      <c r="AD24" s="287"/>
      <c r="AE24" s="277"/>
      <c r="AF24" s="277"/>
      <c r="AG24" s="288"/>
      <c r="AH24" s="793"/>
      <c r="AI24" s="775"/>
      <c r="AJ24" s="43"/>
    </row>
    <row r="25" spans="1:36" ht="24.95" customHeight="1" x14ac:dyDescent="0.2">
      <c r="A25" s="915"/>
      <c r="B25" s="881"/>
      <c r="C25" s="883"/>
      <c r="D25" s="882"/>
      <c r="E25" s="863"/>
      <c r="F25" s="896"/>
      <c r="G25" s="872"/>
      <c r="H25" s="873"/>
      <c r="I25" s="797"/>
      <c r="J25" s="800"/>
      <c r="K25" s="800"/>
      <c r="L25" s="785"/>
      <c r="M25" s="797"/>
      <c r="N25" s="800"/>
      <c r="O25" s="785"/>
      <c r="P25" s="797"/>
      <c r="Q25" s="797"/>
      <c r="R25" s="785"/>
      <c r="S25" s="788"/>
      <c r="T25" s="287">
        <v>0</v>
      </c>
      <c r="U25" s="785"/>
      <c r="V25" s="791"/>
      <c r="W25" s="287"/>
      <c r="X25" s="785"/>
      <c r="Y25" s="785"/>
      <c r="Z25" s="287"/>
      <c r="AA25" s="287"/>
      <c r="AB25" s="785"/>
      <c r="AC25" s="287"/>
      <c r="AD25" s="287"/>
      <c r="AE25" s="277"/>
      <c r="AF25" s="277"/>
      <c r="AG25" s="288"/>
      <c r="AH25" s="794"/>
      <c r="AI25" s="776"/>
      <c r="AJ25" s="43"/>
    </row>
    <row r="26" spans="1:36" ht="24.95" customHeight="1" x14ac:dyDescent="0.2">
      <c r="A26" s="915"/>
      <c r="B26" s="881"/>
      <c r="C26" s="860">
        <v>2023.9</v>
      </c>
      <c r="D26" s="880" t="s">
        <v>866</v>
      </c>
      <c r="E26" s="863"/>
      <c r="F26" s="896"/>
      <c r="G26" s="872"/>
      <c r="H26" s="873"/>
      <c r="I26" s="795">
        <v>56590</v>
      </c>
      <c r="J26" s="798"/>
      <c r="K26" s="798"/>
      <c r="L26" s="783">
        <v>26790</v>
      </c>
      <c r="M26" s="795">
        <v>4728</v>
      </c>
      <c r="N26" s="798"/>
      <c r="O26" s="783">
        <v>26790</v>
      </c>
      <c r="P26" s="795">
        <v>4728</v>
      </c>
      <c r="Q26" s="795">
        <f t="shared" ref="Q26" si="20">N26</f>
        <v>0</v>
      </c>
      <c r="R26" s="783">
        <f>SUM(O26:Q28)</f>
        <v>31518</v>
      </c>
      <c r="S26" s="786">
        <f>R26</f>
        <v>31518</v>
      </c>
      <c r="T26" s="287">
        <v>31518</v>
      </c>
      <c r="U26" s="783">
        <f>S26-T26-T27-T28</f>
        <v>0</v>
      </c>
      <c r="V26" s="789">
        <f>S26*0.8</f>
        <v>25214.400000000001</v>
      </c>
      <c r="W26" s="287">
        <f>T26*0.8</f>
        <v>25214.400000000001</v>
      </c>
      <c r="X26" s="783">
        <f>V26-W26-W27-W28</f>
        <v>0</v>
      </c>
      <c r="Y26" s="783">
        <f t="shared" ref="Y26" si="21">S26*0.17/1.065</f>
        <v>5031.0422535211273</v>
      </c>
      <c r="Z26" s="287"/>
      <c r="AA26" s="287"/>
      <c r="AB26" s="783">
        <f t="shared" ref="AB26" si="22">V26*0.2/1.065</f>
        <v>4735.0985915492965</v>
      </c>
      <c r="AC26" s="287"/>
      <c r="AD26" s="287"/>
      <c r="AE26" s="277"/>
      <c r="AF26" s="277"/>
      <c r="AG26" s="288"/>
      <c r="AH26" s="792">
        <f>V26-Y26-AB26-AG26-AG27-AG28</f>
        <v>15448.259154929579</v>
      </c>
      <c r="AI26" s="774"/>
      <c r="AJ26" s="43"/>
    </row>
    <row r="27" spans="1:36" ht="24.95" customHeight="1" x14ac:dyDescent="0.2">
      <c r="A27" s="915"/>
      <c r="B27" s="881"/>
      <c r="C27" s="861"/>
      <c r="D27" s="881"/>
      <c r="E27" s="863"/>
      <c r="F27" s="896"/>
      <c r="G27" s="872"/>
      <c r="H27" s="873"/>
      <c r="I27" s="796"/>
      <c r="J27" s="799"/>
      <c r="K27" s="799"/>
      <c r="L27" s="784"/>
      <c r="M27" s="796"/>
      <c r="N27" s="799"/>
      <c r="O27" s="784"/>
      <c r="P27" s="796"/>
      <c r="Q27" s="796"/>
      <c r="R27" s="784"/>
      <c r="S27" s="787"/>
      <c r="T27" s="287">
        <v>0</v>
      </c>
      <c r="U27" s="784"/>
      <c r="V27" s="790"/>
      <c r="W27" s="287"/>
      <c r="X27" s="784"/>
      <c r="Y27" s="784"/>
      <c r="Z27" s="287"/>
      <c r="AA27" s="287"/>
      <c r="AB27" s="784"/>
      <c r="AC27" s="287"/>
      <c r="AD27" s="287"/>
      <c r="AE27" s="277"/>
      <c r="AF27" s="277"/>
      <c r="AG27" s="288"/>
      <c r="AH27" s="793"/>
      <c r="AI27" s="775"/>
      <c r="AJ27" s="43"/>
    </row>
    <row r="28" spans="1:36" ht="24.95" customHeight="1" x14ac:dyDescent="0.2">
      <c r="A28" s="915"/>
      <c r="B28" s="881"/>
      <c r="C28" s="883"/>
      <c r="D28" s="882"/>
      <c r="E28" s="863"/>
      <c r="F28" s="896"/>
      <c r="G28" s="872"/>
      <c r="H28" s="873"/>
      <c r="I28" s="797"/>
      <c r="J28" s="800"/>
      <c r="K28" s="800"/>
      <c r="L28" s="785"/>
      <c r="M28" s="797"/>
      <c r="N28" s="800"/>
      <c r="O28" s="785"/>
      <c r="P28" s="797"/>
      <c r="Q28" s="797"/>
      <c r="R28" s="785"/>
      <c r="S28" s="788"/>
      <c r="T28" s="287">
        <v>0</v>
      </c>
      <c r="U28" s="785"/>
      <c r="V28" s="791"/>
      <c r="W28" s="287"/>
      <c r="X28" s="785"/>
      <c r="Y28" s="785"/>
      <c r="Z28" s="287"/>
      <c r="AA28" s="287"/>
      <c r="AB28" s="785"/>
      <c r="AC28" s="287"/>
      <c r="AD28" s="287"/>
      <c r="AE28" s="277"/>
      <c r="AF28" s="277"/>
      <c r="AG28" s="288"/>
      <c r="AH28" s="794"/>
      <c r="AI28" s="776"/>
      <c r="AJ28" s="43"/>
    </row>
    <row r="29" spans="1:36" ht="24.95" customHeight="1" x14ac:dyDescent="0.2">
      <c r="A29" s="915"/>
      <c r="B29" s="881"/>
      <c r="C29" s="860">
        <v>2023.9</v>
      </c>
      <c r="D29" s="880" t="s">
        <v>898</v>
      </c>
      <c r="E29" s="863"/>
      <c r="F29" s="896"/>
      <c r="G29" s="872"/>
      <c r="H29" s="873"/>
      <c r="I29" s="795">
        <f>L29+M29</f>
        <v>60172</v>
      </c>
      <c r="J29" s="798"/>
      <c r="K29" s="798"/>
      <c r="L29" s="795">
        <v>51146</v>
      </c>
      <c r="M29" s="795">
        <v>9026</v>
      </c>
      <c r="N29" s="798"/>
      <c r="O29" s="795">
        <v>51146</v>
      </c>
      <c r="P29" s="795">
        <v>9026</v>
      </c>
      <c r="Q29" s="795"/>
      <c r="R29" s="783">
        <f>SUM(O29:Q31)</f>
        <v>60172</v>
      </c>
      <c r="S29" s="786">
        <f>R29</f>
        <v>60172</v>
      </c>
      <c r="T29" s="287">
        <v>60172</v>
      </c>
      <c r="U29" s="783">
        <f>S29-T29-T30-T31</f>
        <v>0</v>
      </c>
      <c r="V29" s="789">
        <f>S29*0.8</f>
        <v>48137.600000000006</v>
      </c>
      <c r="W29" s="287">
        <f>T29*0.8</f>
        <v>48137.600000000006</v>
      </c>
      <c r="X29" s="783">
        <f>V29-W29-W30-W31</f>
        <v>0</v>
      </c>
      <c r="Y29" s="783">
        <f t="shared" ref="Y29" si="23">S29*0.17/1.065</f>
        <v>9604.9201877934283</v>
      </c>
      <c r="Z29" s="287"/>
      <c r="AA29" s="287"/>
      <c r="AB29" s="783">
        <f t="shared" ref="AB29" si="24">V29*0.2/1.065</f>
        <v>9039.9248826291114</v>
      </c>
      <c r="AC29" s="287"/>
      <c r="AD29" s="287"/>
      <c r="AE29" s="278" t="s">
        <v>590</v>
      </c>
      <c r="AF29" s="278" t="s">
        <v>749</v>
      </c>
      <c r="AG29" s="290">
        <f>1*2500</f>
        <v>2500</v>
      </c>
      <c r="AH29" s="792">
        <f>V29-Y29-AB29-AG29-AG30-AG31</f>
        <v>26992.75492957747</v>
      </c>
      <c r="AI29" s="774"/>
      <c r="AJ29" s="43"/>
    </row>
    <row r="30" spans="1:36" ht="24.95" customHeight="1" x14ac:dyDescent="0.2">
      <c r="A30" s="915"/>
      <c r="B30" s="881"/>
      <c r="C30" s="861"/>
      <c r="D30" s="881"/>
      <c r="E30" s="863"/>
      <c r="F30" s="896"/>
      <c r="G30" s="872"/>
      <c r="H30" s="873"/>
      <c r="I30" s="796"/>
      <c r="J30" s="799"/>
      <c r="K30" s="799"/>
      <c r="L30" s="796"/>
      <c r="M30" s="796"/>
      <c r="N30" s="799"/>
      <c r="O30" s="796"/>
      <c r="P30" s="796"/>
      <c r="Q30" s="796"/>
      <c r="R30" s="784"/>
      <c r="S30" s="787"/>
      <c r="T30" s="287"/>
      <c r="U30" s="784"/>
      <c r="V30" s="790"/>
      <c r="W30" s="287"/>
      <c r="X30" s="784"/>
      <c r="Y30" s="784"/>
      <c r="Z30" s="287"/>
      <c r="AA30" s="287"/>
      <c r="AB30" s="784"/>
      <c r="AC30" s="287"/>
      <c r="AD30" s="287"/>
      <c r="AE30" s="277"/>
      <c r="AF30" s="277"/>
      <c r="AG30" s="288"/>
      <c r="AH30" s="793"/>
      <c r="AI30" s="775"/>
      <c r="AJ30" s="43"/>
    </row>
    <row r="31" spans="1:36" ht="24.95" customHeight="1" x14ac:dyDescent="0.2">
      <c r="A31" s="915"/>
      <c r="B31" s="881"/>
      <c r="C31" s="883"/>
      <c r="D31" s="882"/>
      <c r="E31" s="863"/>
      <c r="F31" s="896"/>
      <c r="G31" s="872"/>
      <c r="H31" s="873"/>
      <c r="I31" s="797"/>
      <c r="J31" s="800"/>
      <c r="K31" s="800"/>
      <c r="L31" s="797"/>
      <c r="M31" s="797"/>
      <c r="N31" s="800"/>
      <c r="O31" s="797"/>
      <c r="P31" s="797"/>
      <c r="Q31" s="797"/>
      <c r="R31" s="785"/>
      <c r="S31" s="788"/>
      <c r="T31" s="287"/>
      <c r="U31" s="785"/>
      <c r="V31" s="791"/>
      <c r="W31" s="287"/>
      <c r="X31" s="785"/>
      <c r="Y31" s="785"/>
      <c r="Z31" s="287"/>
      <c r="AA31" s="287"/>
      <c r="AB31" s="785"/>
      <c r="AC31" s="287"/>
      <c r="AD31" s="287"/>
      <c r="AE31" s="277"/>
      <c r="AF31" s="277"/>
      <c r="AG31" s="288"/>
      <c r="AH31" s="794"/>
      <c r="AI31" s="776"/>
      <c r="AJ31" s="43"/>
    </row>
    <row r="32" spans="1:36" ht="24.95" customHeight="1" x14ac:dyDescent="0.2">
      <c r="A32" s="915"/>
      <c r="B32" s="881"/>
      <c r="C32" s="860">
        <v>2023.1</v>
      </c>
      <c r="D32" s="880" t="s">
        <v>863</v>
      </c>
      <c r="E32" s="863"/>
      <c r="F32" s="896"/>
      <c r="G32" s="872"/>
      <c r="H32" s="873"/>
      <c r="I32" s="795">
        <v>68935</v>
      </c>
      <c r="J32" s="798"/>
      <c r="K32" s="798"/>
      <c r="L32" s="795">
        <f>I32</f>
        <v>68935</v>
      </c>
      <c r="M32" s="795">
        <v>0</v>
      </c>
      <c r="N32" s="798"/>
      <c r="O32" s="783">
        <f t="shared" ref="O32" si="25">L32</f>
        <v>68935</v>
      </c>
      <c r="P32" s="795">
        <f t="shared" ref="P32" si="26">M32</f>
        <v>0</v>
      </c>
      <c r="Q32" s="795">
        <f t="shared" ref="Q32" si="27">N32</f>
        <v>0</v>
      </c>
      <c r="R32" s="783">
        <f>SUM(O32:Q34)</f>
        <v>68935</v>
      </c>
      <c r="S32" s="786">
        <f>R32</f>
        <v>68935</v>
      </c>
      <c r="T32" s="287">
        <v>63049</v>
      </c>
      <c r="U32" s="783">
        <f>S32-T32-T33-T34</f>
        <v>5886</v>
      </c>
      <c r="V32" s="789">
        <f>S32*0.8</f>
        <v>55148</v>
      </c>
      <c r="W32" s="287">
        <v>50439.199999999997</v>
      </c>
      <c r="X32" s="783">
        <f>V32-W32-W33-W34</f>
        <v>4708.8000000000029</v>
      </c>
      <c r="Y32" s="783">
        <f t="shared" ref="Y32" si="28">S32*0.17/1.065</f>
        <v>11003.708920187795</v>
      </c>
      <c r="Z32" s="287"/>
      <c r="AA32" s="287"/>
      <c r="AB32" s="783">
        <f t="shared" ref="AB32" si="29">V32*0.2/1.065</f>
        <v>10356.43192488263</v>
      </c>
      <c r="AC32" s="287"/>
      <c r="AD32" s="287"/>
      <c r="AE32" s="277"/>
      <c r="AF32" s="277"/>
      <c r="AG32" s="288"/>
      <c r="AH32" s="792">
        <f>V32-Y32-AB32-AG32-AG33-AG34</f>
        <v>33787.859154929574</v>
      </c>
      <c r="AI32" s="774"/>
      <c r="AJ32" s="43"/>
    </row>
    <row r="33" spans="1:36" ht="24.95" customHeight="1" x14ac:dyDescent="0.2">
      <c r="A33" s="915"/>
      <c r="B33" s="881"/>
      <c r="C33" s="861"/>
      <c r="D33" s="881"/>
      <c r="E33" s="863"/>
      <c r="F33" s="896"/>
      <c r="G33" s="872"/>
      <c r="H33" s="873"/>
      <c r="I33" s="796"/>
      <c r="J33" s="799"/>
      <c r="K33" s="799"/>
      <c r="L33" s="796"/>
      <c r="M33" s="796"/>
      <c r="N33" s="799"/>
      <c r="O33" s="784"/>
      <c r="P33" s="796"/>
      <c r="Q33" s="796"/>
      <c r="R33" s="784"/>
      <c r="S33" s="787"/>
      <c r="T33" s="287">
        <v>0</v>
      </c>
      <c r="U33" s="784"/>
      <c r="V33" s="790"/>
      <c r="W33" s="287"/>
      <c r="X33" s="784"/>
      <c r="Y33" s="784"/>
      <c r="Z33" s="287"/>
      <c r="AA33" s="287"/>
      <c r="AB33" s="784"/>
      <c r="AC33" s="287"/>
      <c r="AD33" s="287"/>
      <c r="AE33" s="277"/>
      <c r="AF33" s="277"/>
      <c r="AG33" s="288"/>
      <c r="AH33" s="793"/>
      <c r="AI33" s="775"/>
      <c r="AJ33" s="43"/>
    </row>
    <row r="34" spans="1:36" ht="24.95" customHeight="1" x14ac:dyDescent="0.2">
      <c r="A34" s="916"/>
      <c r="B34" s="882"/>
      <c r="C34" s="883"/>
      <c r="D34" s="882"/>
      <c r="E34" s="894"/>
      <c r="F34" s="897"/>
      <c r="G34" s="874"/>
      <c r="H34" s="875"/>
      <c r="I34" s="797"/>
      <c r="J34" s="800"/>
      <c r="K34" s="800"/>
      <c r="L34" s="797"/>
      <c r="M34" s="797"/>
      <c r="N34" s="800"/>
      <c r="O34" s="785"/>
      <c r="P34" s="797"/>
      <c r="Q34" s="797"/>
      <c r="R34" s="785"/>
      <c r="S34" s="788"/>
      <c r="T34" s="287">
        <v>0</v>
      </c>
      <c r="U34" s="785"/>
      <c r="V34" s="791"/>
      <c r="W34" s="287"/>
      <c r="X34" s="785"/>
      <c r="Y34" s="785"/>
      <c r="Z34" s="287"/>
      <c r="AA34" s="287"/>
      <c r="AB34" s="785"/>
      <c r="AC34" s="287"/>
      <c r="AD34" s="287"/>
      <c r="AE34" s="277"/>
      <c r="AF34" s="277"/>
      <c r="AG34" s="288"/>
      <c r="AH34" s="794"/>
      <c r="AI34" s="776"/>
      <c r="AJ34" s="43"/>
    </row>
    <row r="35" spans="1:36" ht="24.95" customHeight="1" x14ac:dyDescent="0.2">
      <c r="A35" s="856">
        <v>3</v>
      </c>
      <c r="B35" s="880" t="s">
        <v>778</v>
      </c>
      <c r="C35" s="860">
        <v>2023.4</v>
      </c>
      <c r="D35" s="927" t="s">
        <v>752</v>
      </c>
      <c r="E35" s="901" t="s">
        <v>779</v>
      </c>
      <c r="F35" s="891" t="s">
        <v>780</v>
      </c>
      <c r="G35" s="270" t="s">
        <v>651</v>
      </c>
      <c r="H35" s="270" t="s">
        <v>820</v>
      </c>
      <c r="I35" s="876">
        <v>287424</v>
      </c>
      <c r="J35" s="795">
        <v>31060</v>
      </c>
      <c r="K35" s="795"/>
      <c r="L35" s="795"/>
      <c r="M35" s="795"/>
      <c r="N35" s="795"/>
      <c r="O35" s="783">
        <f t="shared" ref="O35:Q35" si="30">L35</f>
        <v>0</v>
      </c>
      <c r="P35" s="795">
        <f t="shared" si="30"/>
        <v>0</v>
      </c>
      <c r="Q35" s="795">
        <f t="shared" si="30"/>
        <v>0</v>
      </c>
      <c r="R35" s="783">
        <f>SUM(O35:Q37)</f>
        <v>0</v>
      </c>
      <c r="S35" s="786">
        <f>R35</f>
        <v>0</v>
      </c>
      <c r="T35" s="287">
        <v>0</v>
      </c>
      <c r="U35" s="783">
        <f>S35-T35-T36-T37</f>
        <v>0</v>
      </c>
      <c r="V35" s="789">
        <f>S35*0.85</f>
        <v>0</v>
      </c>
      <c r="W35" s="287"/>
      <c r="X35" s="783">
        <f>V35-W35-W36-W37</f>
        <v>0</v>
      </c>
      <c r="Y35" s="783">
        <f t="shared" ref="Y35" si="31">S35*0.17/1.065</f>
        <v>0</v>
      </c>
      <c r="Z35" s="287"/>
      <c r="AA35" s="287"/>
      <c r="AB35" s="783">
        <f t="shared" ref="AB35" si="32">V35*0.2/1.065</f>
        <v>0</v>
      </c>
      <c r="AC35" s="287"/>
      <c r="AD35" s="287"/>
      <c r="AE35" s="278" t="s">
        <v>590</v>
      </c>
      <c r="AF35" s="278" t="s">
        <v>749</v>
      </c>
      <c r="AG35" s="290">
        <f>1.6*2000</f>
        <v>3200</v>
      </c>
      <c r="AH35" s="792">
        <f>V35-Y35-AB35-AG35-AG36-AG37</f>
        <v>-3200</v>
      </c>
      <c r="AI35" s="774"/>
      <c r="AJ35" s="43"/>
    </row>
    <row r="36" spans="1:36" ht="24.95" customHeight="1" x14ac:dyDescent="0.2">
      <c r="A36" s="857"/>
      <c r="B36" s="881"/>
      <c r="C36" s="861"/>
      <c r="D36" s="927"/>
      <c r="E36" s="929"/>
      <c r="F36" s="892"/>
      <c r="G36" s="270" t="s">
        <v>817</v>
      </c>
      <c r="H36" s="270" t="s">
        <v>821</v>
      </c>
      <c r="I36" s="877"/>
      <c r="J36" s="796"/>
      <c r="K36" s="796"/>
      <c r="L36" s="796"/>
      <c r="M36" s="796"/>
      <c r="N36" s="796"/>
      <c r="O36" s="784"/>
      <c r="P36" s="796"/>
      <c r="Q36" s="796"/>
      <c r="R36" s="784"/>
      <c r="S36" s="787"/>
      <c r="T36" s="287">
        <v>0</v>
      </c>
      <c r="U36" s="784"/>
      <c r="V36" s="790"/>
      <c r="W36" s="287"/>
      <c r="X36" s="784"/>
      <c r="Y36" s="784"/>
      <c r="Z36" s="287"/>
      <c r="AA36" s="287"/>
      <c r="AB36" s="784"/>
      <c r="AC36" s="287"/>
      <c r="AD36" s="287"/>
      <c r="AE36" s="277"/>
      <c r="AF36" s="277"/>
      <c r="AG36" s="288"/>
      <c r="AH36" s="793"/>
      <c r="AI36" s="775"/>
      <c r="AJ36" s="43"/>
    </row>
    <row r="37" spans="1:36" ht="24.95" customHeight="1" x14ac:dyDescent="0.2">
      <c r="A37" s="857"/>
      <c r="B37" s="881"/>
      <c r="C37" s="861"/>
      <c r="D37" s="928"/>
      <c r="E37" s="929"/>
      <c r="F37" s="892"/>
      <c r="G37" s="270" t="s">
        <v>818</v>
      </c>
      <c r="H37" s="270" t="s">
        <v>585</v>
      </c>
      <c r="I37" s="878"/>
      <c r="J37" s="797"/>
      <c r="K37" s="797"/>
      <c r="L37" s="797"/>
      <c r="M37" s="797"/>
      <c r="N37" s="797"/>
      <c r="O37" s="785"/>
      <c r="P37" s="797"/>
      <c r="Q37" s="797"/>
      <c r="R37" s="785"/>
      <c r="S37" s="788"/>
      <c r="T37" s="287">
        <v>0</v>
      </c>
      <c r="U37" s="785"/>
      <c r="V37" s="791"/>
      <c r="W37" s="287"/>
      <c r="X37" s="785"/>
      <c r="Y37" s="785"/>
      <c r="Z37" s="287"/>
      <c r="AA37" s="287"/>
      <c r="AB37" s="785"/>
      <c r="AC37" s="287"/>
      <c r="AD37" s="287"/>
      <c r="AE37" s="277"/>
      <c r="AF37" s="277"/>
      <c r="AG37" s="288"/>
      <c r="AH37" s="794"/>
      <c r="AI37" s="776"/>
      <c r="AJ37" s="43"/>
    </row>
    <row r="38" spans="1:36" ht="24.95" customHeight="1" x14ac:dyDescent="0.2">
      <c r="A38" s="857"/>
      <c r="B38" s="881"/>
      <c r="C38" s="861"/>
      <c r="D38" s="821" t="s">
        <v>801</v>
      </c>
      <c r="E38" s="929"/>
      <c r="F38" s="892"/>
      <c r="G38" s="885"/>
      <c r="H38" s="886"/>
      <c r="I38" s="876">
        <v>80555.789999999994</v>
      </c>
      <c r="J38" s="795">
        <v>7942.93</v>
      </c>
      <c r="K38" s="798"/>
      <c r="L38" s="876">
        <v>80555.789999999994</v>
      </c>
      <c r="M38" s="795">
        <v>7942.93</v>
      </c>
      <c r="N38" s="798"/>
      <c r="O38" s="783">
        <v>80555</v>
      </c>
      <c r="P38" s="795">
        <v>7943</v>
      </c>
      <c r="Q38" s="795">
        <f t="shared" ref="Q38" si="33">N38</f>
        <v>0</v>
      </c>
      <c r="R38" s="783">
        <f>SUM(O38:Q40)</f>
        <v>88498</v>
      </c>
      <c r="S38" s="786">
        <f>R38</f>
        <v>88498</v>
      </c>
      <c r="T38" s="287">
        <v>0</v>
      </c>
      <c r="U38" s="783">
        <f>S38-T38-T39-T40</f>
        <v>88498</v>
      </c>
      <c r="V38" s="789">
        <f t="shared" ref="V38" si="34">S38*0.85</f>
        <v>75223.3</v>
      </c>
      <c r="W38" s="287"/>
      <c r="X38" s="783">
        <f>V38-W38-W39-W40</f>
        <v>75223.3</v>
      </c>
      <c r="Y38" s="783">
        <f t="shared" ref="Y38" si="35">S38*0.17/1.065</f>
        <v>14126.441314553993</v>
      </c>
      <c r="Z38" s="287"/>
      <c r="AA38" s="287"/>
      <c r="AB38" s="783">
        <f t="shared" ref="AB38" si="36">V38*0.2/1.065</f>
        <v>14126.441314553993</v>
      </c>
      <c r="AC38" s="287"/>
      <c r="AD38" s="287"/>
      <c r="AE38" s="278" t="s">
        <v>590</v>
      </c>
      <c r="AF38" s="278" t="s">
        <v>591</v>
      </c>
      <c r="AG38" s="290">
        <f>0.48*2000</f>
        <v>960</v>
      </c>
      <c r="AH38" s="792">
        <f>V38-Y38-AB38-AG38-AG39-AG40</f>
        <v>45410.417370892013</v>
      </c>
      <c r="AI38" s="774"/>
      <c r="AJ38" s="43"/>
    </row>
    <row r="39" spans="1:36" ht="24.95" customHeight="1" x14ac:dyDescent="0.2">
      <c r="A39" s="857"/>
      <c r="B39" s="881"/>
      <c r="C39" s="861"/>
      <c r="D39" s="821"/>
      <c r="E39" s="929"/>
      <c r="F39" s="892"/>
      <c r="G39" s="887"/>
      <c r="H39" s="888"/>
      <c r="I39" s="877"/>
      <c r="J39" s="796"/>
      <c r="K39" s="799"/>
      <c r="L39" s="877"/>
      <c r="M39" s="796"/>
      <c r="N39" s="799"/>
      <c r="O39" s="784"/>
      <c r="P39" s="796"/>
      <c r="Q39" s="796"/>
      <c r="R39" s="784"/>
      <c r="S39" s="787"/>
      <c r="T39" s="287">
        <v>0</v>
      </c>
      <c r="U39" s="784"/>
      <c r="V39" s="790"/>
      <c r="W39" s="287"/>
      <c r="X39" s="784"/>
      <c r="Y39" s="784"/>
      <c r="Z39" s="287"/>
      <c r="AA39" s="287"/>
      <c r="AB39" s="784"/>
      <c r="AC39" s="287"/>
      <c r="AD39" s="287"/>
      <c r="AE39" s="278" t="s">
        <v>590</v>
      </c>
      <c r="AF39" s="278" t="s">
        <v>592</v>
      </c>
      <c r="AG39" s="290">
        <f>4*150</f>
        <v>600</v>
      </c>
      <c r="AH39" s="793"/>
      <c r="AI39" s="775"/>
      <c r="AJ39" s="43"/>
    </row>
    <row r="40" spans="1:36" ht="24.95" customHeight="1" x14ac:dyDescent="0.2">
      <c r="A40" s="857"/>
      <c r="B40" s="881"/>
      <c r="C40" s="861"/>
      <c r="D40" s="880"/>
      <c r="E40" s="929"/>
      <c r="F40" s="892"/>
      <c r="G40" s="887"/>
      <c r="H40" s="888"/>
      <c r="I40" s="878"/>
      <c r="J40" s="797"/>
      <c r="K40" s="800"/>
      <c r="L40" s="878"/>
      <c r="M40" s="797"/>
      <c r="N40" s="800"/>
      <c r="O40" s="785"/>
      <c r="P40" s="797"/>
      <c r="Q40" s="797"/>
      <c r="R40" s="785"/>
      <c r="S40" s="788"/>
      <c r="T40" s="287">
        <v>0</v>
      </c>
      <c r="U40" s="785"/>
      <c r="V40" s="791"/>
      <c r="W40" s="287"/>
      <c r="X40" s="785"/>
      <c r="Y40" s="785"/>
      <c r="Z40" s="287"/>
      <c r="AA40" s="287"/>
      <c r="AB40" s="785"/>
      <c r="AC40" s="287"/>
      <c r="AD40" s="287"/>
      <c r="AE40" s="278"/>
      <c r="AF40" s="278"/>
      <c r="AG40" s="290"/>
      <c r="AH40" s="794"/>
      <c r="AI40" s="776"/>
      <c r="AJ40" s="43"/>
    </row>
    <row r="41" spans="1:36" ht="24.95" customHeight="1" x14ac:dyDescent="0.2">
      <c r="A41" s="857"/>
      <c r="B41" s="881"/>
      <c r="C41" s="861"/>
      <c r="D41" s="821" t="s">
        <v>802</v>
      </c>
      <c r="E41" s="929"/>
      <c r="F41" s="892"/>
      <c r="G41" s="887"/>
      <c r="H41" s="888"/>
      <c r="I41" s="876">
        <v>112281.74</v>
      </c>
      <c r="J41" s="795">
        <v>12896.81</v>
      </c>
      <c r="K41" s="798"/>
      <c r="L41" s="876">
        <v>112281.74</v>
      </c>
      <c r="M41" s="795">
        <v>12896.81</v>
      </c>
      <c r="N41" s="798"/>
      <c r="O41" s="783">
        <v>112281</v>
      </c>
      <c r="P41" s="795">
        <v>12897</v>
      </c>
      <c r="Q41" s="795">
        <f t="shared" ref="Q41" si="37">N41</f>
        <v>0</v>
      </c>
      <c r="R41" s="783">
        <f>SUM(O41:Q43)</f>
        <v>125178</v>
      </c>
      <c r="S41" s="786">
        <f>R41</f>
        <v>125178</v>
      </c>
      <c r="T41" s="287">
        <v>125178</v>
      </c>
      <c r="U41" s="783">
        <f>S41-T41-T42-T43</f>
        <v>0</v>
      </c>
      <c r="V41" s="789">
        <f t="shared" ref="V41" si="38">S41*0.85</f>
        <v>106401.3</v>
      </c>
      <c r="W41" s="287">
        <v>106401.3</v>
      </c>
      <c r="X41" s="783">
        <f>V41-W41-W42-W43</f>
        <v>0</v>
      </c>
      <c r="Y41" s="783">
        <f t="shared" ref="Y41" si="39">S41*0.17/1.065</f>
        <v>19981.464788732399</v>
      </c>
      <c r="Z41" s="287"/>
      <c r="AA41" s="287"/>
      <c r="AB41" s="783">
        <f t="shared" ref="AB41" si="40">V41*0.2/1.065</f>
        <v>19981.464788732399</v>
      </c>
      <c r="AC41" s="287"/>
      <c r="AD41" s="287"/>
      <c r="AE41" s="278" t="s">
        <v>590</v>
      </c>
      <c r="AF41" s="278" t="s">
        <v>591</v>
      </c>
      <c r="AG41" s="290">
        <f>1.23*2000</f>
        <v>2460</v>
      </c>
      <c r="AH41" s="792">
        <f>V41-Y41-AB41-AG41-AG42-AG43</f>
        <v>63978.370422535212</v>
      </c>
      <c r="AI41" s="774"/>
      <c r="AJ41" s="43"/>
    </row>
    <row r="42" spans="1:36" ht="24.95" customHeight="1" x14ac:dyDescent="0.2">
      <c r="A42" s="857"/>
      <c r="B42" s="881"/>
      <c r="C42" s="861"/>
      <c r="D42" s="821"/>
      <c r="E42" s="929"/>
      <c r="F42" s="892"/>
      <c r="G42" s="887"/>
      <c r="H42" s="888"/>
      <c r="I42" s="877"/>
      <c r="J42" s="796"/>
      <c r="K42" s="799"/>
      <c r="L42" s="877"/>
      <c r="M42" s="796"/>
      <c r="N42" s="799"/>
      <c r="O42" s="784"/>
      <c r="P42" s="796"/>
      <c r="Q42" s="796"/>
      <c r="R42" s="784"/>
      <c r="S42" s="787"/>
      <c r="T42" s="287">
        <v>0</v>
      </c>
      <c r="U42" s="784"/>
      <c r="V42" s="790"/>
      <c r="W42" s="287"/>
      <c r="X42" s="784"/>
      <c r="Y42" s="784"/>
      <c r="Z42" s="287"/>
      <c r="AA42" s="287"/>
      <c r="AB42" s="784"/>
      <c r="AC42" s="287"/>
      <c r="AD42" s="287"/>
      <c r="AE42" s="278"/>
      <c r="AF42" s="278"/>
      <c r="AG42" s="290"/>
      <c r="AH42" s="793"/>
      <c r="AI42" s="775"/>
      <c r="AJ42" s="43"/>
    </row>
    <row r="43" spans="1:36" ht="24.95" customHeight="1" x14ac:dyDescent="0.2">
      <c r="A43" s="857"/>
      <c r="B43" s="881"/>
      <c r="C43" s="861"/>
      <c r="D43" s="880"/>
      <c r="E43" s="929"/>
      <c r="F43" s="892"/>
      <c r="G43" s="887"/>
      <c r="H43" s="888"/>
      <c r="I43" s="878"/>
      <c r="J43" s="797"/>
      <c r="K43" s="800"/>
      <c r="L43" s="878"/>
      <c r="M43" s="797"/>
      <c r="N43" s="800"/>
      <c r="O43" s="785"/>
      <c r="P43" s="797"/>
      <c r="Q43" s="797"/>
      <c r="R43" s="785"/>
      <c r="S43" s="788"/>
      <c r="T43" s="287">
        <v>0</v>
      </c>
      <c r="U43" s="785"/>
      <c r="V43" s="791"/>
      <c r="W43" s="287"/>
      <c r="X43" s="785"/>
      <c r="Y43" s="785"/>
      <c r="Z43" s="287"/>
      <c r="AA43" s="287"/>
      <c r="AB43" s="785"/>
      <c r="AC43" s="287"/>
      <c r="AD43" s="287"/>
      <c r="AE43" s="278"/>
      <c r="AF43" s="278"/>
      <c r="AG43" s="290"/>
      <c r="AH43" s="794"/>
      <c r="AI43" s="776"/>
      <c r="AJ43" s="43"/>
    </row>
    <row r="44" spans="1:36" ht="24.95" customHeight="1" x14ac:dyDescent="0.2">
      <c r="A44" s="857"/>
      <c r="B44" s="881"/>
      <c r="C44" s="861"/>
      <c r="D44" s="821" t="s">
        <v>803</v>
      </c>
      <c r="E44" s="929"/>
      <c r="F44" s="892"/>
      <c r="G44" s="887"/>
      <c r="H44" s="888"/>
      <c r="I44" s="876">
        <v>164211.53</v>
      </c>
      <c r="J44" s="795">
        <v>12290.48</v>
      </c>
      <c r="K44" s="798"/>
      <c r="L44" s="876">
        <v>164211.53</v>
      </c>
      <c r="M44" s="795">
        <v>12290.48</v>
      </c>
      <c r="N44" s="798"/>
      <c r="O44" s="783">
        <v>164211</v>
      </c>
      <c r="P44" s="795">
        <v>12291</v>
      </c>
      <c r="Q44" s="795">
        <f t="shared" ref="Q44" si="41">N44</f>
        <v>0</v>
      </c>
      <c r="R44" s="783">
        <f>SUM(O44:Q46)</f>
        <v>176502</v>
      </c>
      <c r="S44" s="786">
        <f>R44</f>
        <v>176502</v>
      </c>
      <c r="T44" s="287">
        <v>87022</v>
      </c>
      <c r="U44" s="783">
        <f>S44-T44-T45-T46</f>
        <v>89480</v>
      </c>
      <c r="V44" s="789">
        <f t="shared" ref="V44" si="42">S44*0.85</f>
        <v>150026.69999999998</v>
      </c>
      <c r="W44" s="287">
        <v>73968.7</v>
      </c>
      <c r="X44" s="783">
        <f>V44-W44-W45-W46</f>
        <v>76057.999999999985</v>
      </c>
      <c r="Y44" s="783">
        <f t="shared" ref="Y44" si="43">S44*0.17/1.065</f>
        <v>28174.028169014091</v>
      </c>
      <c r="Z44" s="287"/>
      <c r="AA44" s="287"/>
      <c r="AB44" s="783">
        <f t="shared" ref="AB44" si="44">V44*0.2/1.065</f>
        <v>28174.028169014084</v>
      </c>
      <c r="AC44" s="287"/>
      <c r="AD44" s="287"/>
      <c r="AE44" s="278" t="s">
        <v>590</v>
      </c>
      <c r="AF44" s="278" t="s">
        <v>591</v>
      </c>
      <c r="AG44" s="290">
        <f>1.043*2000</f>
        <v>2086</v>
      </c>
      <c r="AH44" s="792">
        <f>V44-Y44-AB44-AG44-AG45-AG46</f>
        <v>91592.643661971815</v>
      </c>
      <c r="AI44" s="774"/>
      <c r="AJ44" s="43"/>
    </row>
    <row r="45" spans="1:36" ht="24.95" customHeight="1" x14ac:dyDescent="0.2">
      <c r="A45" s="857"/>
      <c r="B45" s="881"/>
      <c r="C45" s="861"/>
      <c r="D45" s="821"/>
      <c r="E45" s="929"/>
      <c r="F45" s="892"/>
      <c r="G45" s="887"/>
      <c r="H45" s="888"/>
      <c r="I45" s="877"/>
      <c r="J45" s="796"/>
      <c r="K45" s="799"/>
      <c r="L45" s="877"/>
      <c r="M45" s="796"/>
      <c r="N45" s="799"/>
      <c r="O45" s="784"/>
      <c r="P45" s="796"/>
      <c r="Q45" s="796"/>
      <c r="R45" s="784"/>
      <c r="S45" s="787"/>
      <c r="T45" s="287">
        <v>0</v>
      </c>
      <c r="U45" s="784"/>
      <c r="V45" s="790"/>
      <c r="W45" s="287"/>
      <c r="X45" s="784"/>
      <c r="Y45" s="784"/>
      <c r="Z45" s="287"/>
      <c r="AA45" s="287"/>
      <c r="AB45" s="784"/>
      <c r="AC45" s="287"/>
      <c r="AD45" s="287"/>
      <c r="AE45" s="278"/>
      <c r="AF45" s="278"/>
      <c r="AG45" s="290"/>
      <c r="AH45" s="793"/>
      <c r="AI45" s="775"/>
      <c r="AJ45" s="43"/>
    </row>
    <row r="46" spans="1:36" ht="24.95" customHeight="1" x14ac:dyDescent="0.2">
      <c r="A46" s="857"/>
      <c r="B46" s="881"/>
      <c r="C46" s="861"/>
      <c r="D46" s="880"/>
      <c r="E46" s="929"/>
      <c r="F46" s="892"/>
      <c r="G46" s="887"/>
      <c r="H46" s="888"/>
      <c r="I46" s="878"/>
      <c r="J46" s="797"/>
      <c r="K46" s="800"/>
      <c r="L46" s="878"/>
      <c r="M46" s="797"/>
      <c r="N46" s="800"/>
      <c r="O46" s="785"/>
      <c r="P46" s="797"/>
      <c r="Q46" s="797"/>
      <c r="R46" s="785"/>
      <c r="S46" s="788"/>
      <c r="T46" s="287">
        <v>0</v>
      </c>
      <c r="U46" s="785"/>
      <c r="V46" s="791"/>
      <c r="W46" s="287"/>
      <c r="X46" s="785"/>
      <c r="Y46" s="785"/>
      <c r="Z46" s="287"/>
      <c r="AA46" s="287"/>
      <c r="AB46" s="785"/>
      <c r="AC46" s="287"/>
      <c r="AD46" s="287"/>
      <c r="AE46" s="278"/>
      <c r="AF46" s="278"/>
      <c r="AG46" s="290"/>
      <c r="AH46" s="794"/>
      <c r="AI46" s="776"/>
      <c r="AJ46" s="43"/>
    </row>
    <row r="47" spans="1:36" ht="24.95" customHeight="1" x14ac:dyDescent="0.2">
      <c r="A47" s="857"/>
      <c r="B47" s="881"/>
      <c r="C47" s="861"/>
      <c r="D47" s="821" t="s">
        <v>804</v>
      </c>
      <c r="E47" s="929"/>
      <c r="F47" s="892"/>
      <c r="G47" s="887"/>
      <c r="H47" s="888"/>
      <c r="I47" s="876">
        <v>83405.740000000005</v>
      </c>
      <c r="J47" s="795">
        <v>13170.42</v>
      </c>
      <c r="K47" s="798"/>
      <c r="L47" s="876">
        <v>83405.740000000005</v>
      </c>
      <c r="M47" s="795">
        <v>13170.42</v>
      </c>
      <c r="N47" s="798"/>
      <c r="O47" s="783">
        <v>83405</v>
      </c>
      <c r="P47" s="795">
        <v>13171</v>
      </c>
      <c r="Q47" s="795">
        <f t="shared" ref="Q47" si="45">N47</f>
        <v>0</v>
      </c>
      <c r="R47" s="783">
        <f>SUM(O47:Q49)</f>
        <v>96576</v>
      </c>
      <c r="S47" s="786">
        <f>R47</f>
        <v>96576</v>
      </c>
      <c r="T47" s="287">
        <v>0</v>
      </c>
      <c r="U47" s="783">
        <f>S47-T47-T48-T49</f>
        <v>96576</v>
      </c>
      <c r="V47" s="789">
        <f t="shared" ref="V47" si="46">S47*0.85</f>
        <v>82089.599999999991</v>
      </c>
      <c r="W47" s="287"/>
      <c r="X47" s="783">
        <f>V47-W47-W48-W49</f>
        <v>82089.599999999991</v>
      </c>
      <c r="Y47" s="783">
        <f t="shared" ref="Y47" si="47">S47*0.17/1.065</f>
        <v>15415.887323943665</v>
      </c>
      <c r="Z47" s="287"/>
      <c r="AA47" s="287"/>
      <c r="AB47" s="783">
        <f t="shared" ref="AB47" si="48">V47*0.2/1.065</f>
        <v>15415.887323943662</v>
      </c>
      <c r="AC47" s="287"/>
      <c r="AD47" s="287"/>
      <c r="AE47" s="278" t="s">
        <v>590</v>
      </c>
      <c r="AF47" s="278" t="s">
        <v>591</v>
      </c>
      <c r="AG47" s="290">
        <f>1.1*2000</f>
        <v>2200</v>
      </c>
      <c r="AH47" s="792">
        <f>V47-Y47-AB47-AG47-AG48-AG49</f>
        <v>49057.825352112661</v>
      </c>
      <c r="AI47" s="774"/>
      <c r="AJ47" s="43"/>
    </row>
    <row r="48" spans="1:36" ht="24.95" customHeight="1" x14ac:dyDescent="0.2">
      <c r="A48" s="857"/>
      <c r="B48" s="881"/>
      <c r="C48" s="861"/>
      <c r="D48" s="821"/>
      <c r="E48" s="929"/>
      <c r="F48" s="892"/>
      <c r="G48" s="887"/>
      <c r="H48" s="888"/>
      <c r="I48" s="877"/>
      <c r="J48" s="796"/>
      <c r="K48" s="799"/>
      <c r="L48" s="877"/>
      <c r="M48" s="796"/>
      <c r="N48" s="799"/>
      <c r="O48" s="784"/>
      <c r="P48" s="796"/>
      <c r="Q48" s="796"/>
      <c r="R48" s="784"/>
      <c r="S48" s="787"/>
      <c r="T48" s="287">
        <v>0</v>
      </c>
      <c r="U48" s="784"/>
      <c r="V48" s="790"/>
      <c r="W48" s="287"/>
      <c r="X48" s="784"/>
      <c r="Y48" s="784"/>
      <c r="Z48" s="287"/>
      <c r="AA48" s="287"/>
      <c r="AB48" s="784"/>
      <c r="AC48" s="287"/>
      <c r="AD48" s="287"/>
      <c r="AE48" s="278"/>
      <c r="AF48" s="278"/>
      <c r="AG48" s="290"/>
      <c r="AH48" s="793"/>
      <c r="AI48" s="775"/>
      <c r="AJ48" s="43"/>
    </row>
    <row r="49" spans="1:36" ht="24.95" customHeight="1" x14ac:dyDescent="0.2">
      <c r="A49" s="857"/>
      <c r="B49" s="881"/>
      <c r="C49" s="861"/>
      <c r="D49" s="880"/>
      <c r="E49" s="929"/>
      <c r="F49" s="892"/>
      <c r="G49" s="887"/>
      <c r="H49" s="888"/>
      <c r="I49" s="878"/>
      <c r="J49" s="797"/>
      <c r="K49" s="800"/>
      <c r="L49" s="878"/>
      <c r="M49" s="797"/>
      <c r="N49" s="800"/>
      <c r="O49" s="785"/>
      <c r="P49" s="797"/>
      <c r="Q49" s="797"/>
      <c r="R49" s="785"/>
      <c r="S49" s="788"/>
      <c r="T49" s="287">
        <v>0</v>
      </c>
      <c r="U49" s="785"/>
      <c r="V49" s="791"/>
      <c r="W49" s="287"/>
      <c r="X49" s="785"/>
      <c r="Y49" s="785"/>
      <c r="Z49" s="287"/>
      <c r="AA49" s="287"/>
      <c r="AB49" s="785"/>
      <c r="AC49" s="286"/>
      <c r="AD49" s="286"/>
      <c r="AE49" s="279"/>
      <c r="AF49" s="279"/>
      <c r="AG49" s="291"/>
      <c r="AH49" s="794"/>
      <c r="AI49" s="776"/>
      <c r="AJ49" s="43"/>
    </row>
    <row r="50" spans="1:36" ht="24.95" customHeight="1" x14ac:dyDescent="0.2">
      <c r="A50" s="857"/>
      <c r="B50" s="881"/>
      <c r="C50" s="861"/>
      <c r="D50" s="821" t="s">
        <v>890</v>
      </c>
      <c r="E50" s="929"/>
      <c r="F50" s="892"/>
      <c r="G50" s="887"/>
      <c r="H50" s="888"/>
      <c r="I50" s="876">
        <v>72142.47</v>
      </c>
      <c r="J50" s="795">
        <v>48013.89</v>
      </c>
      <c r="K50" s="798"/>
      <c r="L50" s="876">
        <v>72142.47</v>
      </c>
      <c r="M50" s="795">
        <v>48013.89</v>
      </c>
      <c r="N50" s="798"/>
      <c r="O50" s="783">
        <v>72142</v>
      </c>
      <c r="P50" s="795">
        <v>48014</v>
      </c>
      <c r="Q50" s="795">
        <f t="shared" ref="Q50" si="49">N50</f>
        <v>0</v>
      </c>
      <c r="R50" s="783">
        <f>SUM(O50:Q52)</f>
        <v>120156</v>
      </c>
      <c r="S50" s="786">
        <f>R50</f>
        <v>120156</v>
      </c>
      <c r="T50" s="287">
        <v>0</v>
      </c>
      <c r="U50" s="783">
        <f>S50-T50-T51-T52</f>
        <v>120156</v>
      </c>
      <c r="V50" s="789">
        <f t="shared" ref="V50" si="50">S50*0.85</f>
        <v>102132.59999999999</v>
      </c>
      <c r="W50" s="287"/>
      <c r="X50" s="783">
        <f>V50-W50-W51-W52</f>
        <v>102132.59999999999</v>
      </c>
      <c r="Y50" s="783">
        <f t="shared" ref="Y50" si="51">S50*0.17/1.065</f>
        <v>19179.830985915494</v>
      </c>
      <c r="Z50" s="287"/>
      <c r="AA50" s="287"/>
      <c r="AB50" s="783">
        <f t="shared" ref="AB50" si="52">V50*0.2/1.065</f>
        <v>19179.830985915494</v>
      </c>
      <c r="AC50" s="287"/>
      <c r="AD50" s="287"/>
      <c r="AE50" s="278" t="s">
        <v>617</v>
      </c>
      <c r="AF50" s="278" t="s">
        <v>591</v>
      </c>
      <c r="AG50" s="290">
        <f>0.65*1500</f>
        <v>975</v>
      </c>
      <c r="AH50" s="792">
        <f>V50-Y50-AB50-AG50-AG51-AG52</f>
        <v>62197.938028168996</v>
      </c>
      <c r="AI50" s="774"/>
      <c r="AJ50" s="43"/>
    </row>
    <row r="51" spans="1:36" ht="24.95" customHeight="1" x14ac:dyDescent="0.2">
      <c r="A51" s="857"/>
      <c r="B51" s="881"/>
      <c r="C51" s="861"/>
      <c r="D51" s="821"/>
      <c r="E51" s="929"/>
      <c r="F51" s="892"/>
      <c r="G51" s="887"/>
      <c r="H51" s="888"/>
      <c r="I51" s="877"/>
      <c r="J51" s="796"/>
      <c r="K51" s="799"/>
      <c r="L51" s="877"/>
      <c r="M51" s="796"/>
      <c r="N51" s="799"/>
      <c r="O51" s="784"/>
      <c r="P51" s="796"/>
      <c r="Q51" s="796"/>
      <c r="R51" s="784"/>
      <c r="S51" s="787"/>
      <c r="T51" s="287">
        <v>0</v>
      </c>
      <c r="U51" s="784"/>
      <c r="V51" s="790"/>
      <c r="W51" s="287"/>
      <c r="X51" s="784"/>
      <c r="Y51" s="784"/>
      <c r="Z51" s="287"/>
      <c r="AA51" s="287"/>
      <c r="AB51" s="784"/>
      <c r="AC51" s="287"/>
      <c r="AD51" s="287"/>
      <c r="AE51" s="278" t="s">
        <v>617</v>
      </c>
      <c r="AF51" s="278" t="s">
        <v>592</v>
      </c>
      <c r="AG51" s="290">
        <f>4*150</f>
        <v>600</v>
      </c>
      <c r="AH51" s="793"/>
      <c r="AI51" s="775"/>
      <c r="AJ51" s="43"/>
    </row>
    <row r="52" spans="1:36" ht="24.95" customHeight="1" x14ac:dyDescent="0.2">
      <c r="A52" s="879"/>
      <c r="B52" s="882"/>
      <c r="C52" s="883"/>
      <c r="D52" s="880"/>
      <c r="E52" s="930"/>
      <c r="F52" s="893"/>
      <c r="G52" s="889"/>
      <c r="H52" s="890"/>
      <c r="I52" s="878"/>
      <c r="J52" s="797"/>
      <c r="K52" s="800"/>
      <c r="L52" s="878"/>
      <c r="M52" s="797"/>
      <c r="N52" s="800"/>
      <c r="O52" s="785"/>
      <c r="P52" s="797"/>
      <c r="Q52" s="797"/>
      <c r="R52" s="785"/>
      <c r="S52" s="788"/>
      <c r="T52" s="287">
        <v>0</v>
      </c>
      <c r="U52" s="785"/>
      <c r="V52" s="791"/>
      <c r="W52" s="287"/>
      <c r="X52" s="785"/>
      <c r="Y52" s="785"/>
      <c r="Z52" s="287"/>
      <c r="AA52" s="287"/>
      <c r="AB52" s="785"/>
      <c r="AC52" s="286"/>
      <c r="AD52" s="286"/>
      <c r="AE52" s="279"/>
      <c r="AF52" s="279"/>
      <c r="AG52" s="291"/>
      <c r="AH52" s="794"/>
      <c r="AI52" s="776"/>
      <c r="AJ52" s="43"/>
    </row>
    <row r="53" spans="1:36" ht="24.95" customHeight="1" x14ac:dyDescent="0.2">
      <c r="A53" s="856">
        <v>4</v>
      </c>
      <c r="B53" s="880" t="s">
        <v>753</v>
      </c>
      <c r="C53" s="860">
        <v>2023.4</v>
      </c>
      <c r="D53" s="821" t="s">
        <v>790</v>
      </c>
      <c r="E53" s="884" t="s">
        <v>747</v>
      </c>
      <c r="F53" s="822" t="s">
        <v>833</v>
      </c>
      <c r="G53" s="270" t="s">
        <v>651</v>
      </c>
      <c r="H53" s="270" t="s">
        <v>575</v>
      </c>
      <c r="I53" s="876">
        <v>56136</v>
      </c>
      <c r="J53" s="798"/>
      <c r="K53" s="798"/>
      <c r="L53" s="795">
        <f>I53</f>
        <v>56136</v>
      </c>
      <c r="M53" s="798"/>
      <c r="N53" s="798"/>
      <c r="O53" s="783">
        <f t="shared" ref="O53:Q53" si="53">L53</f>
        <v>56136</v>
      </c>
      <c r="P53" s="795">
        <f t="shared" si="53"/>
        <v>0</v>
      </c>
      <c r="Q53" s="795">
        <f t="shared" si="53"/>
        <v>0</v>
      </c>
      <c r="R53" s="783">
        <f>SUM(O53:Q55)</f>
        <v>56136</v>
      </c>
      <c r="S53" s="786">
        <f>R53</f>
        <v>56136</v>
      </c>
      <c r="T53" s="287">
        <v>0</v>
      </c>
      <c r="U53" s="783">
        <f>S53-T53-T54-T55</f>
        <v>56136</v>
      </c>
      <c r="V53" s="789">
        <f>S53*0.8</f>
        <v>44908.800000000003</v>
      </c>
      <c r="W53" s="287"/>
      <c r="X53" s="783">
        <f>V53-W53-W54-W55</f>
        <v>44908.800000000003</v>
      </c>
      <c r="Y53" s="783">
        <f t="shared" ref="Y53" si="54">S53*0.17/1.065</f>
        <v>8960.6760563380285</v>
      </c>
      <c r="Z53" s="287"/>
      <c r="AA53" s="287"/>
      <c r="AB53" s="783">
        <f t="shared" ref="AB53" si="55">V53*0.2/1.065</f>
        <v>8433.5774647887338</v>
      </c>
      <c r="AC53" s="287"/>
      <c r="AD53" s="287"/>
      <c r="AE53" s="278" t="s">
        <v>590</v>
      </c>
      <c r="AF53" s="278" t="s">
        <v>749</v>
      </c>
      <c r="AG53" s="290">
        <f>2.33*2500</f>
        <v>5825</v>
      </c>
      <c r="AH53" s="792">
        <f>V53-Y53-AB53-AG53-AG54-AG55</f>
        <v>21689.546478873239</v>
      </c>
      <c r="AI53" s="774"/>
      <c r="AJ53" s="43"/>
    </row>
    <row r="54" spans="1:36" ht="24.95" customHeight="1" x14ac:dyDescent="0.2">
      <c r="A54" s="857"/>
      <c r="B54" s="881"/>
      <c r="C54" s="861"/>
      <c r="D54" s="821"/>
      <c r="E54" s="884"/>
      <c r="F54" s="822"/>
      <c r="G54" s="270" t="s">
        <v>817</v>
      </c>
      <c r="H54" s="270" t="s">
        <v>822</v>
      </c>
      <c r="I54" s="877"/>
      <c r="J54" s="799"/>
      <c r="K54" s="799"/>
      <c r="L54" s="796"/>
      <c r="M54" s="799"/>
      <c r="N54" s="799"/>
      <c r="O54" s="784"/>
      <c r="P54" s="796"/>
      <c r="Q54" s="796"/>
      <c r="R54" s="784"/>
      <c r="S54" s="787"/>
      <c r="T54" s="287">
        <v>0</v>
      </c>
      <c r="U54" s="784"/>
      <c r="V54" s="790"/>
      <c r="W54" s="287"/>
      <c r="X54" s="784"/>
      <c r="Y54" s="784"/>
      <c r="Z54" s="287"/>
      <c r="AA54" s="287"/>
      <c r="AB54" s="784"/>
      <c r="AC54" s="287"/>
      <c r="AD54" s="287"/>
      <c r="AE54" s="277"/>
      <c r="AF54" s="277"/>
      <c r="AG54" s="288"/>
      <c r="AH54" s="793"/>
      <c r="AI54" s="775"/>
      <c r="AJ54" s="43"/>
    </row>
    <row r="55" spans="1:36" ht="24.95" customHeight="1" x14ac:dyDescent="0.2">
      <c r="A55" s="879"/>
      <c r="B55" s="882"/>
      <c r="C55" s="883"/>
      <c r="D55" s="880"/>
      <c r="E55" s="884"/>
      <c r="F55" s="822"/>
      <c r="G55" s="270" t="s">
        <v>818</v>
      </c>
      <c r="H55" s="270" t="s">
        <v>585</v>
      </c>
      <c r="I55" s="878"/>
      <c r="J55" s="800"/>
      <c r="K55" s="800"/>
      <c r="L55" s="797"/>
      <c r="M55" s="800"/>
      <c r="N55" s="800"/>
      <c r="O55" s="785"/>
      <c r="P55" s="797"/>
      <c r="Q55" s="797"/>
      <c r="R55" s="785"/>
      <c r="S55" s="788"/>
      <c r="T55" s="287">
        <v>0</v>
      </c>
      <c r="U55" s="785"/>
      <c r="V55" s="791"/>
      <c r="W55" s="287"/>
      <c r="X55" s="785"/>
      <c r="Y55" s="785"/>
      <c r="Z55" s="287"/>
      <c r="AA55" s="287"/>
      <c r="AB55" s="785"/>
      <c r="AC55" s="287"/>
      <c r="AD55" s="287"/>
      <c r="AE55" s="277"/>
      <c r="AF55" s="277"/>
      <c r="AG55" s="288"/>
      <c r="AH55" s="794"/>
      <c r="AI55" s="776"/>
      <c r="AJ55" s="43"/>
    </row>
    <row r="56" spans="1:36" ht="24.95" customHeight="1" x14ac:dyDescent="0.2">
      <c r="A56" s="856">
        <v>5</v>
      </c>
      <c r="B56" s="920" t="s">
        <v>755</v>
      </c>
      <c r="C56" s="917" t="s">
        <v>759</v>
      </c>
      <c r="D56" s="821" t="s">
        <v>791</v>
      </c>
      <c r="E56" s="884" t="s">
        <v>747</v>
      </c>
      <c r="F56" s="822" t="s">
        <v>754</v>
      </c>
      <c r="G56" s="270" t="s">
        <v>651</v>
      </c>
      <c r="H56" s="270" t="s">
        <v>823</v>
      </c>
      <c r="I56" s="876"/>
      <c r="J56" s="795"/>
      <c r="K56" s="795"/>
      <c r="L56" s="795"/>
      <c r="M56" s="795"/>
      <c r="N56" s="798"/>
      <c r="O56" s="783">
        <f t="shared" ref="O56:Q56" si="56">L56</f>
        <v>0</v>
      </c>
      <c r="P56" s="795">
        <f t="shared" si="56"/>
        <v>0</v>
      </c>
      <c r="Q56" s="795">
        <f t="shared" si="56"/>
        <v>0</v>
      </c>
      <c r="R56" s="783">
        <f>SUM(O56:Q58)</f>
        <v>0</v>
      </c>
      <c r="S56" s="786">
        <f>R56</f>
        <v>0</v>
      </c>
      <c r="T56" s="287">
        <v>0</v>
      </c>
      <c r="U56" s="783">
        <f>S56-T56-T57-T58</f>
        <v>0</v>
      </c>
      <c r="V56" s="789">
        <f>S56*0.8</f>
        <v>0</v>
      </c>
      <c r="W56" s="287"/>
      <c r="X56" s="783">
        <f>V56-W56-W57-W58</f>
        <v>0</v>
      </c>
      <c r="Y56" s="786">
        <v>0</v>
      </c>
      <c r="Z56" s="292"/>
      <c r="AA56" s="292"/>
      <c r="AB56" s="786">
        <v>0</v>
      </c>
      <c r="AC56" s="292"/>
      <c r="AD56" s="292"/>
      <c r="AE56" s="278"/>
      <c r="AF56" s="278"/>
      <c r="AG56" s="290"/>
      <c r="AH56" s="792">
        <f>V56-Y56-AB56-AG56-AG57-AG58</f>
        <v>0</v>
      </c>
      <c r="AI56" s="774" t="s">
        <v>756</v>
      </c>
      <c r="AJ56" s="43"/>
    </row>
    <row r="57" spans="1:36" ht="24.95" customHeight="1" x14ac:dyDescent="0.2">
      <c r="A57" s="857"/>
      <c r="B57" s="921"/>
      <c r="C57" s="918"/>
      <c r="D57" s="821"/>
      <c r="E57" s="884"/>
      <c r="F57" s="822"/>
      <c r="G57" s="270" t="s">
        <v>817</v>
      </c>
      <c r="H57" s="270" t="s">
        <v>824</v>
      </c>
      <c r="I57" s="877"/>
      <c r="J57" s="796"/>
      <c r="K57" s="796"/>
      <c r="L57" s="796"/>
      <c r="M57" s="796"/>
      <c r="N57" s="799"/>
      <c r="O57" s="784"/>
      <c r="P57" s="796"/>
      <c r="Q57" s="796"/>
      <c r="R57" s="784"/>
      <c r="S57" s="787"/>
      <c r="T57" s="287">
        <v>0</v>
      </c>
      <c r="U57" s="784"/>
      <c r="V57" s="790"/>
      <c r="W57" s="287"/>
      <c r="X57" s="784"/>
      <c r="Y57" s="787"/>
      <c r="Z57" s="292"/>
      <c r="AA57" s="292"/>
      <c r="AB57" s="787"/>
      <c r="AC57" s="292"/>
      <c r="AD57" s="292"/>
      <c r="AE57" s="278"/>
      <c r="AF57" s="278"/>
      <c r="AG57" s="290"/>
      <c r="AH57" s="793"/>
      <c r="AI57" s="775"/>
      <c r="AJ57" s="43"/>
    </row>
    <row r="58" spans="1:36" ht="24.95" customHeight="1" x14ac:dyDescent="0.2">
      <c r="A58" s="879"/>
      <c r="B58" s="922"/>
      <c r="C58" s="919"/>
      <c r="D58" s="880"/>
      <c r="E58" s="884"/>
      <c r="F58" s="822"/>
      <c r="G58" s="270" t="s">
        <v>818</v>
      </c>
      <c r="H58" s="270" t="s">
        <v>840</v>
      </c>
      <c r="I58" s="878"/>
      <c r="J58" s="797"/>
      <c r="K58" s="797"/>
      <c r="L58" s="797"/>
      <c r="M58" s="797"/>
      <c r="N58" s="800"/>
      <c r="O58" s="785"/>
      <c r="P58" s="797"/>
      <c r="Q58" s="797"/>
      <c r="R58" s="785"/>
      <c r="S58" s="788"/>
      <c r="T58" s="287">
        <v>0</v>
      </c>
      <c r="U58" s="785"/>
      <c r="V58" s="791"/>
      <c r="W58" s="287"/>
      <c r="X58" s="785"/>
      <c r="Y58" s="788"/>
      <c r="Z58" s="292"/>
      <c r="AA58" s="292"/>
      <c r="AB58" s="788"/>
      <c r="AC58" s="292"/>
      <c r="AD58" s="292"/>
      <c r="AE58" s="278"/>
      <c r="AF58" s="278"/>
      <c r="AG58" s="290"/>
      <c r="AH58" s="794"/>
      <c r="AI58" s="776"/>
      <c r="AJ58" s="43"/>
    </row>
    <row r="59" spans="1:36" ht="24.95" customHeight="1" x14ac:dyDescent="0.2">
      <c r="A59" s="856">
        <v>6</v>
      </c>
      <c r="B59" s="880" t="s">
        <v>758</v>
      </c>
      <c r="C59" s="860">
        <v>2023.3</v>
      </c>
      <c r="D59" s="925" t="s">
        <v>760</v>
      </c>
      <c r="E59" s="884" t="s">
        <v>747</v>
      </c>
      <c r="F59" s="822" t="s">
        <v>834</v>
      </c>
      <c r="G59" s="270" t="s">
        <v>651</v>
      </c>
      <c r="H59" s="270" t="s">
        <v>828</v>
      </c>
      <c r="I59" s="876">
        <v>140000</v>
      </c>
      <c r="J59" s="798"/>
      <c r="K59" s="798"/>
      <c r="L59" s="795">
        <f>I59</f>
        <v>140000</v>
      </c>
      <c r="M59" s="798"/>
      <c r="N59" s="798"/>
      <c r="O59" s="783">
        <f t="shared" ref="O59:Q59" si="57">L59</f>
        <v>140000</v>
      </c>
      <c r="P59" s="795">
        <f t="shared" si="57"/>
        <v>0</v>
      </c>
      <c r="Q59" s="795">
        <f t="shared" si="57"/>
        <v>0</v>
      </c>
      <c r="R59" s="783">
        <f>SUM(O59:Q61)</f>
        <v>140000</v>
      </c>
      <c r="S59" s="786">
        <f>R59</f>
        <v>140000</v>
      </c>
      <c r="T59" s="287">
        <v>112000</v>
      </c>
      <c r="U59" s="783">
        <f>S59-T59-T60-T61</f>
        <v>28000</v>
      </c>
      <c r="V59" s="864">
        <f>O59*0.8</f>
        <v>112000</v>
      </c>
      <c r="W59" s="287">
        <f>T59*0.8</f>
        <v>89600</v>
      </c>
      <c r="X59" s="783">
        <f>V59-W59-W60-W61</f>
        <v>22400</v>
      </c>
      <c r="Y59" s="783">
        <f t="shared" ref="Y59" si="58">S59*0.17/1.065</f>
        <v>22347.417840375587</v>
      </c>
      <c r="Z59" s="287"/>
      <c r="AA59" s="287"/>
      <c r="AB59" s="783">
        <f t="shared" ref="AB59" si="59">V59*0.2/1.065</f>
        <v>21032.863849765261</v>
      </c>
      <c r="AC59" s="287"/>
      <c r="AD59" s="287"/>
      <c r="AE59" s="277"/>
      <c r="AF59" s="277"/>
      <c r="AG59" s="288"/>
      <c r="AH59" s="792">
        <f>V59-Y59-AB59-AG59-AG60-AG61</f>
        <v>68619.718309859149</v>
      </c>
      <c r="AI59" s="774"/>
      <c r="AJ59" s="43"/>
    </row>
    <row r="60" spans="1:36" ht="24.95" customHeight="1" x14ac:dyDescent="0.2">
      <c r="A60" s="857"/>
      <c r="B60" s="881"/>
      <c r="C60" s="861"/>
      <c r="D60" s="925"/>
      <c r="E60" s="884"/>
      <c r="F60" s="822"/>
      <c r="G60" s="270" t="s">
        <v>817</v>
      </c>
      <c r="H60" s="270" t="s">
        <v>829</v>
      </c>
      <c r="I60" s="877"/>
      <c r="J60" s="799"/>
      <c r="K60" s="799"/>
      <c r="L60" s="796"/>
      <c r="M60" s="799"/>
      <c r="N60" s="799"/>
      <c r="O60" s="784"/>
      <c r="P60" s="796"/>
      <c r="Q60" s="796"/>
      <c r="R60" s="784"/>
      <c r="S60" s="787"/>
      <c r="T60" s="287">
        <v>0</v>
      </c>
      <c r="U60" s="784"/>
      <c r="V60" s="865"/>
      <c r="W60" s="287"/>
      <c r="X60" s="784"/>
      <c r="Y60" s="784"/>
      <c r="Z60" s="287"/>
      <c r="AA60" s="287"/>
      <c r="AB60" s="784"/>
      <c r="AC60" s="287"/>
      <c r="AD60" s="287"/>
      <c r="AE60" s="277"/>
      <c r="AF60" s="277"/>
      <c r="AG60" s="288"/>
      <c r="AH60" s="793"/>
      <c r="AI60" s="775"/>
      <c r="AJ60" s="43"/>
    </row>
    <row r="61" spans="1:36" ht="24.95" customHeight="1" x14ac:dyDescent="0.2">
      <c r="A61" s="879"/>
      <c r="B61" s="882"/>
      <c r="C61" s="883"/>
      <c r="D61" s="926"/>
      <c r="E61" s="884"/>
      <c r="F61" s="822"/>
      <c r="G61" s="270" t="s">
        <v>818</v>
      </c>
      <c r="H61" s="270" t="s">
        <v>638</v>
      </c>
      <c r="I61" s="878"/>
      <c r="J61" s="800"/>
      <c r="K61" s="800"/>
      <c r="L61" s="797"/>
      <c r="M61" s="800"/>
      <c r="N61" s="800"/>
      <c r="O61" s="785"/>
      <c r="P61" s="797"/>
      <c r="Q61" s="797"/>
      <c r="R61" s="785"/>
      <c r="S61" s="788"/>
      <c r="T61" s="287">
        <v>0</v>
      </c>
      <c r="U61" s="785"/>
      <c r="V61" s="866"/>
      <c r="W61" s="287"/>
      <c r="X61" s="785"/>
      <c r="Y61" s="785"/>
      <c r="Z61" s="287"/>
      <c r="AA61" s="287"/>
      <c r="AB61" s="785"/>
      <c r="AC61" s="287"/>
      <c r="AD61" s="287"/>
      <c r="AE61" s="277"/>
      <c r="AF61" s="277"/>
      <c r="AG61" s="288"/>
      <c r="AH61" s="794"/>
      <c r="AI61" s="776"/>
      <c r="AJ61" s="43"/>
    </row>
    <row r="62" spans="1:36" ht="24.95" customHeight="1" x14ac:dyDescent="0.2">
      <c r="A62" s="856">
        <v>7</v>
      </c>
      <c r="B62" s="880" t="s">
        <v>761</v>
      </c>
      <c r="C62" s="860">
        <v>2023.5</v>
      </c>
      <c r="D62" s="821" t="s">
        <v>765</v>
      </c>
      <c r="E62" s="884" t="s">
        <v>747</v>
      </c>
      <c r="F62" s="822" t="s">
        <v>764</v>
      </c>
      <c r="G62" s="270" t="s">
        <v>651</v>
      </c>
      <c r="H62" s="270" t="s">
        <v>575</v>
      </c>
      <c r="I62" s="876">
        <v>85790.81</v>
      </c>
      <c r="J62" s="798"/>
      <c r="K62" s="798"/>
      <c r="L62" s="795">
        <f>I62</f>
        <v>85790.81</v>
      </c>
      <c r="M62" s="798"/>
      <c r="N62" s="798"/>
      <c r="O62" s="783">
        <f t="shared" ref="O62:Q62" si="60">L62</f>
        <v>85790.81</v>
      </c>
      <c r="P62" s="795">
        <f t="shared" si="60"/>
        <v>0</v>
      </c>
      <c r="Q62" s="795">
        <f t="shared" si="60"/>
        <v>0</v>
      </c>
      <c r="R62" s="783">
        <f>SUM(O62:Q64)</f>
        <v>85790.81</v>
      </c>
      <c r="S62" s="786">
        <f>R62</f>
        <v>85790.81</v>
      </c>
      <c r="T62" s="867">
        <v>85790.81</v>
      </c>
      <c r="U62" s="783">
        <f>S62-T62-T63-T64</f>
        <v>0</v>
      </c>
      <c r="V62" s="789">
        <f>S62*0.8</f>
        <v>68632.648000000001</v>
      </c>
      <c r="W62" s="867">
        <v>68632.649999999994</v>
      </c>
      <c r="X62" s="783">
        <f>V62-W62-W63-W64</f>
        <v>-1.999999993131496E-3</v>
      </c>
      <c r="Y62" s="783">
        <f t="shared" ref="Y62" si="61">S62*0.17/1.065</f>
        <v>13694.307699530518</v>
      </c>
      <c r="Z62" s="287"/>
      <c r="AA62" s="287"/>
      <c r="AB62" s="783">
        <f t="shared" ref="AB62" si="62">V62*0.2/1.065</f>
        <v>12888.76018779343</v>
      </c>
      <c r="AC62" s="287"/>
      <c r="AD62" s="287"/>
      <c r="AE62" s="278"/>
      <c r="AF62" s="278"/>
      <c r="AG62" s="290"/>
      <c r="AH62" s="792">
        <f>V62-Y62-AB62-AG62-AG63-AG64</f>
        <v>42049.580112676056</v>
      </c>
      <c r="AI62" s="774"/>
      <c r="AJ62" s="43"/>
    </row>
    <row r="63" spans="1:36" ht="24.95" customHeight="1" x14ac:dyDescent="0.2">
      <c r="A63" s="857"/>
      <c r="B63" s="881"/>
      <c r="C63" s="861"/>
      <c r="D63" s="821"/>
      <c r="E63" s="884"/>
      <c r="F63" s="822"/>
      <c r="G63" s="270" t="s">
        <v>817</v>
      </c>
      <c r="H63" s="270" t="s">
        <v>822</v>
      </c>
      <c r="I63" s="877"/>
      <c r="J63" s="799"/>
      <c r="K63" s="799"/>
      <c r="L63" s="796"/>
      <c r="M63" s="799"/>
      <c r="N63" s="799"/>
      <c r="O63" s="784"/>
      <c r="P63" s="796"/>
      <c r="Q63" s="796"/>
      <c r="R63" s="784"/>
      <c r="S63" s="787"/>
      <c r="T63" s="868"/>
      <c r="U63" s="784"/>
      <c r="V63" s="790"/>
      <c r="W63" s="868"/>
      <c r="X63" s="784"/>
      <c r="Y63" s="784"/>
      <c r="Z63" s="287"/>
      <c r="AA63" s="287"/>
      <c r="AB63" s="784"/>
      <c r="AC63" s="287"/>
      <c r="AD63" s="287"/>
      <c r="AE63" s="278"/>
      <c r="AF63" s="278"/>
      <c r="AG63" s="290"/>
      <c r="AH63" s="793"/>
      <c r="AI63" s="775"/>
      <c r="AJ63" s="43"/>
    </row>
    <row r="64" spans="1:36" ht="24.95" customHeight="1" x14ac:dyDescent="0.2">
      <c r="A64" s="857"/>
      <c r="B64" s="881"/>
      <c r="C64" s="883"/>
      <c r="D64" s="880"/>
      <c r="E64" s="884"/>
      <c r="F64" s="822"/>
      <c r="G64" s="270" t="s">
        <v>818</v>
      </c>
      <c r="H64" s="270" t="s">
        <v>585</v>
      </c>
      <c r="I64" s="878"/>
      <c r="J64" s="800"/>
      <c r="K64" s="800"/>
      <c r="L64" s="797"/>
      <c r="M64" s="800"/>
      <c r="N64" s="800"/>
      <c r="O64" s="785"/>
      <c r="P64" s="797"/>
      <c r="Q64" s="797"/>
      <c r="R64" s="785"/>
      <c r="S64" s="788"/>
      <c r="T64" s="869"/>
      <c r="U64" s="785"/>
      <c r="V64" s="791"/>
      <c r="W64" s="869"/>
      <c r="X64" s="785"/>
      <c r="Y64" s="785"/>
      <c r="Z64" s="287"/>
      <c r="AA64" s="287"/>
      <c r="AB64" s="785"/>
      <c r="AC64" s="287"/>
      <c r="AD64" s="287"/>
      <c r="AE64" s="278"/>
      <c r="AF64" s="278"/>
      <c r="AG64" s="290"/>
      <c r="AH64" s="794"/>
      <c r="AI64" s="776"/>
      <c r="AJ64" s="43"/>
    </row>
    <row r="65" spans="1:36" ht="24.95" customHeight="1" x14ac:dyDescent="0.2">
      <c r="A65" s="857"/>
      <c r="B65" s="881"/>
      <c r="C65" s="860">
        <v>2023.5</v>
      </c>
      <c r="D65" s="821" t="s">
        <v>766</v>
      </c>
      <c r="E65" s="884" t="s">
        <v>747</v>
      </c>
      <c r="F65" s="822" t="s">
        <v>767</v>
      </c>
      <c r="G65" s="870"/>
      <c r="H65" s="871"/>
      <c r="I65" s="876">
        <v>55809</v>
      </c>
      <c r="J65" s="798"/>
      <c r="K65" s="798"/>
      <c r="L65" s="795">
        <f>I65</f>
        <v>55809</v>
      </c>
      <c r="M65" s="798"/>
      <c r="N65" s="798"/>
      <c r="O65" s="783">
        <f t="shared" ref="O65:Q65" si="63">L65</f>
        <v>55809</v>
      </c>
      <c r="P65" s="795">
        <f t="shared" si="63"/>
        <v>0</v>
      </c>
      <c r="Q65" s="795">
        <f t="shared" si="63"/>
        <v>0</v>
      </c>
      <c r="R65" s="783">
        <f>SUM(O65:Q67)</f>
        <v>55809</v>
      </c>
      <c r="S65" s="786">
        <f>R65</f>
        <v>55809</v>
      </c>
      <c r="T65" s="287">
        <v>50229</v>
      </c>
      <c r="U65" s="783">
        <f>S65-T65-T66-T67</f>
        <v>5580</v>
      </c>
      <c r="V65" s="789">
        <f>S65*0.8</f>
        <v>44647.200000000004</v>
      </c>
      <c r="W65" s="287">
        <f>T65*0.8</f>
        <v>40183.200000000004</v>
      </c>
      <c r="X65" s="783">
        <f>V65-W65-W66-W67</f>
        <v>4464</v>
      </c>
      <c r="Y65" s="783">
        <f>S65*0.17/1.065</f>
        <v>8908.4788732394372</v>
      </c>
      <c r="Z65" s="287"/>
      <c r="AA65" s="287"/>
      <c r="AB65" s="783">
        <f>V65*0.2/1.065</f>
        <v>8384.4507042253535</v>
      </c>
      <c r="AC65" s="287"/>
      <c r="AD65" s="287"/>
      <c r="AE65" s="278"/>
      <c r="AF65" s="278"/>
      <c r="AG65" s="290"/>
      <c r="AH65" s="792">
        <f>V65-Y65-AB65-AG65-AG66-AG67</f>
        <v>27354.270422535214</v>
      </c>
      <c r="AI65" s="774"/>
      <c r="AJ65" s="43"/>
    </row>
    <row r="66" spans="1:36" ht="24.95" customHeight="1" x14ac:dyDescent="0.2">
      <c r="A66" s="857"/>
      <c r="B66" s="881"/>
      <c r="C66" s="861"/>
      <c r="D66" s="821"/>
      <c r="E66" s="884"/>
      <c r="F66" s="822"/>
      <c r="G66" s="872"/>
      <c r="H66" s="873"/>
      <c r="I66" s="877"/>
      <c r="J66" s="799"/>
      <c r="K66" s="799"/>
      <c r="L66" s="796"/>
      <c r="M66" s="799"/>
      <c r="N66" s="799"/>
      <c r="O66" s="784"/>
      <c r="P66" s="796"/>
      <c r="Q66" s="796"/>
      <c r="R66" s="784"/>
      <c r="S66" s="787"/>
      <c r="T66" s="287">
        <v>0</v>
      </c>
      <c r="U66" s="784"/>
      <c r="V66" s="790"/>
      <c r="W66" s="287"/>
      <c r="X66" s="784"/>
      <c r="Y66" s="784"/>
      <c r="Z66" s="287"/>
      <c r="AA66" s="287"/>
      <c r="AB66" s="784"/>
      <c r="AC66" s="287"/>
      <c r="AD66" s="287"/>
      <c r="AE66" s="278"/>
      <c r="AF66" s="278"/>
      <c r="AG66" s="290"/>
      <c r="AH66" s="793"/>
      <c r="AI66" s="775"/>
      <c r="AJ66" s="43"/>
    </row>
    <row r="67" spans="1:36" ht="24.95" customHeight="1" x14ac:dyDescent="0.2">
      <c r="A67" s="879"/>
      <c r="B67" s="882"/>
      <c r="C67" s="883"/>
      <c r="D67" s="880"/>
      <c r="E67" s="884"/>
      <c r="F67" s="822"/>
      <c r="G67" s="874"/>
      <c r="H67" s="875"/>
      <c r="I67" s="878"/>
      <c r="J67" s="800"/>
      <c r="K67" s="800"/>
      <c r="L67" s="797"/>
      <c r="M67" s="800"/>
      <c r="N67" s="800"/>
      <c r="O67" s="785"/>
      <c r="P67" s="797"/>
      <c r="Q67" s="797"/>
      <c r="R67" s="785"/>
      <c r="S67" s="788"/>
      <c r="T67" s="287">
        <v>0</v>
      </c>
      <c r="U67" s="785"/>
      <c r="V67" s="791"/>
      <c r="W67" s="287"/>
      <c r="X67" s="785"/>
      <c r="Y67" s="785"/>
      <c r="Z67" s="287"/>
      <c r="AA67" s="287"/>
      <c r="AB67" s="785"/>
      <c r="AC67" s="287"/>
      <c r="AD67" s="287"/>
      <c r="AE67" s="278"/>
      <c r="AF67" s="278"/>
      <c r="AG67" s="290"/>
      <c r="AH67" s="794"/>
      <c r="AI67" s="776"/>
      <c r="AJ67" s="43"/>
    </row>
    <row r="68" spans="1:36" ht="24.95" customHeight="1" x14ac:dyDescent="0.2">
      <c r="A68" s="856">
        <v>8</v>
      </c>
      <c r="B68" s="880" t="s">
        <v>762</v>
      </c>
      <c r="C68" s="860">
        <v>2023.6</v>
      </c>
      <c r="D68" s="821" t="s">
        <v>876</v>
      </c>
      <c r="E68" s="884" t="s">
        <v>747</v>
      </c>
      <c r="F68" s="822" t="s">
        <v>763</v>
      </c>
      <c r="G68" s="270" t="s">
        <v>651</v>
      </c>
      <c r="H68" s="270" t="s">
        <v>830</v>
      </c>
      <c r="I68" s="876">
        <v>99300</v>
      </c>
      <c r="J68" s="798"/>
      <c r="K68" s="798"/>
      <c r="L68" s="795">
        <f>I68</f>
        <v>99300</v>
      </c>
      <c r="M68" s="798"/>
      <c r="N68" s="798"/>
      <c r="O68" s="783">
        <f t="shared" ref="O68:Q68" si="64">L68</f>
        <v>99300</v>
      </c>
      <c r="P68" s="795">
        <f t="shared" si="64"/>
        <v>0</v>
      </c>
      <c r="Q68" s="795">
        <f t="shared" si="64"/>
        <v>0</v>
      </c>
      <c r="R68" s="783">
        <f>SUM(O68:Q70)</f>
        <v>99300</v>
      </c>
      <c r="S68" s="786">
        <f>R68</f>
        <v>99300</v>
      </c>
      <c r="T68" s="287">
        <v>89370</v>
      </c>
      <c r="U68" s="783">
        <f>S68-T68-T69-T70</f>
        <v>9930</v>
      </c>
      <c r="V68" s="789">
        <f>S68*0.8</f>
        <v>79440</v>
      </c>
      <c r="W68" s="287"/>
      <c r="X68" s="783">
        <f>V68-W68-W69-W70</f>
        <v>79440</v>
      </c>
      <c r="Y68" s="783">
        <f t="shared" ref="Y68" si="65">S68*0.17/1.065</f>
        <v>15850.704225352114</v>
      </c>
      <c r="Z68" s="287"/>
      <c r="AA68" s="287"/>
      <c r="AB68" s="783">
        <f t="shared" ref="AB68" si="66">V68*0.2/1.065</f>
        <v>14918.30985915493</v>
      </c>
      <c r="AC68" s="287"/>
      <c r="AD68" s="287"/>
      <c r="AE68" s="277"/>
      <c r="AF68" s="277"/>
      <c r="AG68" s="288"/>
      <c r="AH68" s="792">
        <f>V68-Y68-AB68-AG68-AG69-AG70</f>
        <v>48670.985915492958</v>
      </c>
      <c r="AI68" s="774"/>
      <c r="AJ68" s="43"/>
    </row>
    <row r="69" spans="1:36" ht="24.95" customHeight="1" x14ac:dyDescent="0.2">
      <c r="A69" s="857"/>
      <c r="B69" s="881"/>
      <c r="C69" s="861"/>
      <c r="D69" s="821"/>
      <c r="E69" s="884"/>
      <c r="F69" s="822"/>
      <c r="G69" s="270" t="s">
        <v>817</v>
      </c>
      <c r="H69" s="270" t="s">
        <v>831</v>
      </c>
      <c r="I69" s="877"/>
      <c r="J69" s="799"/>
      <c r="K69" s="799"/>
      <c r="L69" s="796"/>
      <c r="M69" s="799"/>
      <c r="N69" s="799"/>
      <c r="O69" s="784"/>
      <c r="P69" s="796"/>
      <c r="Q69" s="796"/>
      <c r="R69" s="784"/>
      <c r="S69" s="787"/>
      <c r="T69" s="287">
        <v>0</v>
      </c>
      <c r="U69" s="784"/>
      <c r="V69" s="790"/>
      <c r="W69" s="287"/>
      <c r="X69" s="784"/>
      <c r="Y69" s="784"/>
      <c r="Z69" s="287"/>
      <c r="AA69" s="287"/>
      <c r="AB69" s="784"/>
      <c r="AC69" s="287"/>
      <c r="AD69" s="287"/>
      <c r="AE69" s="277"/>
      <c r="AF69" s="277"/>
      <c r="AG69" s="288"/>
      <c r="AH69" s="793"/>
      <c r="AI69" s="775"/>
      <c r="AJ69" s="43"/>
    </row>
    <row r="70" spans="1:36" ht="24.95" customHeight="1" x14ac:dyDescent="0.2">
      <c r="A70" s="879"/>
      <c r="B70" s="882"/>
      <c r="C70" s="883"/>
      <c r="D70" s="880"/>
      <c r="E70" s="884"/>
      <c r="F70" s="822"/>
      <c r="G70" s="270" t="s">
        <v>818</v>
      </c>
      <c r="H70" s="270" t="s">
        <v>639</v>
      </c>
      <c r="I70" s="878"/>
      <c r="J70" s="800"/>
      <c r="K70" s="800"/>
      <c r="L70" s="797"/>
      <c r="M70" s="800"/>
      <c r="N70" s="800"/>
      <c r="O70" s="785"/>
      <c r="P70" s="797"/>
      <c r="Q70" s="797"/>
      <c r="R70" s="785"/>
      <c r="S70" s="788"/>
      <c r="T70" s="287">
        <v>0</v>
      </c>
      <c r="U70" s="785"/>
      <c r="V70" s="791"/>
      <c r="W70" s="287"/>
      <c r="X70" s="785"/>
      <c r="Y70" s="785"/>
      <c r="Z70" s="287"/>
      <c r="AA70" s="287"/>
      <c r="AB70" s="785"/>
      <c r="AC70" s="287"/>
      <c r="AD70" s="287"/>
      <c r="AE70" s="277"/>
      <c r="AF70" s="277"/>
      <c r="AG70" s="288"/>
      <c r="AH70" s="794"/>
      <c r="AI70" s="776"/>
      <c r="AJ70" s="43"/>
    </row>
    <row r="71" spans="1:36" ht="24.95" customHeight="1" x14ac:dyDescent="0.2">
      <c r="A71" s="856">
        <v>9</v>
      </c>
      <c r="B71" s="880" t="s">
        <v>771</v>
      </c>
      <c r="C71" s="860">
        <v>2023.7</v>
      </c>
      <c r="D71" s="821" t="s">
        <v>774</v>
      </c>
      <c r="E71" s="862" t="s">
        <v>747</v>
      </c>
      <c r="F71" s="895" t="s">
        <v>772</v>
      </c>
      <c r="G71" s="270" t="s">
        <v>651</v>
      </c>
      <c r="H71" s="270" t="s">
        <v>586</v>
      </c>
      <c r="I71" s="876">
        <f>318812*0.85</f>
        <v>270990.2</v>
      </c>
      <c r="J71" s="876">
        <f>318812*0.15</f>
        <v>47821.799999999996</v>
      </c>
      <c r="K71" s="798"/>
      <c r="L71" s="795"/>
      <c r="M71" s="795"/>
      <c r="N71" s="798"/>
      <c r="O71" s="783">
        <f t="shared" ref="O71:Q71" si="67">L71</f>
        <v>0</v>
      </c>
      <c r="P71" s="795">
        <f t="shared" si="67"/>
        <v>0</v>
      </c>
      <c r="Q71" s="795">
        <f t="shared" si="67"/>
        <v>0</v>
      </c>
      <c r="R71" s="783">
        <f>SUM(O71:Q73)</f>
        <v>0</v>
      </c>
      <c r="S71" s="786">
        <f>R71</f>
        <v>0</v>
      </c>
      <c r="T71" s="287">
        <v>0</v>
      </c>
      <c r="U71" s="783">
        <f>S71-T71-T72-T73</f>
        <v>0</v>
      </c>
      <c r="V71" s="789">
        <f>S71*0.8</f>
        <v>0</v>
      </c>
      <c r="W71" s="287"/>
      <c r="X71" s="783">
        <f>V71-W71-W72-W73</f>
        <v>0</v>
      </c>
      <c r="Y71" s="783">
        <f t="shared" ref="Y71" si="68">S71*0.17/1.065</f>
        <v>0</v>
      </c>
      <c r="Z71" s="287"/>
      <c r="AA71" s="287"/>
      <c r="AB71" s="783">
        <f t="shared" ref="AB71" si="69">V71*0.2/1.065</f>
        <v>0</v>
      </c>
      <c r="AC71" s="287"/>
      <c r="AD71" s="287"/>
      <c r="AE71" s="278" t="s">
        <v>590</v>
      </c>
      <c r="AF71" s="278" t="s">
        <v>749</v>
      </c>
      <c r="AG71" s="290">
        <f>0.44*2500</f>
        <v>1100</v>
      </c>
      <c r="AH71" s="792">
        <f>V71-Y71-AB71-AG71-AG72-AG73</f>
        <v>-3350</v>
      </c>
      <c r="AI71" s="774"/>
      <c r="AJ71" s="43"/>
    </row>
    <row r="72" spans="1:36" ht="24.95" customHeight="1" x14ac:dyDescent="0.2">
      <c r="A72" s="857"/>
      <c r="B72" s="881"/>
      <c r="C72" s="861"/>
      <c r="D72" s="821"/>
      <c r="E72" s="863"/>
      <c r="F72" s="896"/>
      <c r="G72" s="270" t="s">
        <v>817</v>
      </c>
      <c r="H72" s="270" t="s">
        <v>875</v>
      </c>
      <c r="I72" s="877"/>
      <c r="J72" s="877"/>
      <c r="K72" s="799"/>
      <c r="L72" s="796"/>
      <c r="M72" s="796"/>
      <c r="N72" s="799"/>
      <c r="O72" s="784"/>
      <c r="P72" s="796"/>
      <c r="Q72" s="796"/>
      <c r="R72" s="784"/>
      <c r="S72" s="787"/>
      <c r="T72" s="287">
        <v>0</v>
      </c>
      <c r="U72" s="784"/>
      <c r="V72" s="790"/>
      <c r="W72" s="287"/>
      <c r="X72" s="784"/>
      <c r="Y72" s="784"/>
      <c r="Z72" s="287"/>
      <c r="AA72" s="287"/>
      <c r="AB72" s="784"/>
      <c r="AC72" s="287"/>
      <c r="AD72" s="287"/>
      <c r="AE72" s="278" t="s">
        <v>590</v>
      </c>
      <c r="AF72" s="278" t="s">
        <v>592</v>
      </c>
      <c r="AG72" s="290">
        <f>15*150</f>
        <v>2250</v>
      </c>
      <c r="AH72" s="793"/>
      <c r="AI72" s="775"/>
      <c r="AJ72" s="43"/>
    </row>
    <row r="73" spans="1:36" ht="24.95" customHeight="1" x14ac:dyDescent="0.2">
      <c r="A73" s="857"/>
      <c r="B73" s="881"/>
      <c r="C73" s="883"/>
      <c r="D73" s="880"/>
      <c r="E73" s="863"/>
      <c r="F73" s="896"/>
      <c r="G73" s="270" t="s">
        <v>818</v>
      </c>
      <c r="H73" s="270" t="s">
        <v>639</v>
      </c>
      <c r="I73" s="878"/>
      <c r="J73" s="878"/>
      <c r="K73" s="800"/>
      <c r="L73" s="797"/>
      <c r="M73" s="797"/>
      <c r="N73" s="800"/>
      <c r="O73" s="785"/>
      <c r="P73" s="797"/>
      <c r="Q73" s="797"/>
      <c r="R73" s="785"/>
      <c r="S73" s="788"/>
      <c r="T73" s="287">
        <v>0</v>
      </c>
      <c r="U73" s="785"/>
      <c r="V73" s="791"/>
      <c r="W73" s="287"/>
      <c r="X73" s="785"/>
      <c r="Y73" s="785"/>
      <c r="Z73" s="287"/>
      <c r="AA73" s="287"/>
      <c r="AB73" s="785"/>
      <c r="AC73" s="287"/>
      <c r="AD73" s="287"/>
      <c r="AE73" s="277"/>
      <c r="AF73" s="277"/>
      <c r="AG73" s="288"/>
      <c r="AH73" s="794"/>
      <c r="AI73" s="776"/>
      <c r="AJ73" s="43"/>
    </row>
    <row r="74" spans="1:36" ht="24.95" customHeight="1" x14ac:dyDescent="0.2">
      <c r="A74" s="857"/>
      <c r="B74" s="881"/>
      <c r="C74" s="860">
        <v>2023.7</v>
      </c>
      <c r="D74" s="898" t="s">
        <v>773</v>
      </c>
      <c r="E74" s="863"/>
      <c r="F74" s="896"/>
      <c r="G74" s="777"/>
      <c r="H74" s="778"/>
      <c r="I74" s="876">
        <f>152372*0.85</f>
        <v>129516.2</v>
      </c>
      <c r="J74" s="876">
        <f>152372*0.15</f>
        <v>22855.8</v>
      </c>
      <c r="K74" s="798"/>
      <c r="L74" s="795"/>
      <c r="M74" s="795"/>
      <c r="N74" s="798"/>
      <c r="O74" s="783">
        <f t="shared" ref="O74:Q74" si="70">L74</f>
        <v>0</v>
      </c>
      <c r="P74" s="795">
        <f t="shared" si="70"/>
        <v>0</v>
      </c>
      <c r="Q74" s="795">
        <f t="shared" si="70"/>
        <v>0</v>
      </c>
      <c r="R74" s="783">
        <f>SUM(O74:Q76)</f>
        <v>0</v>
      </c>
      <c r="S74" s="786">
        <f>R74</f>
        <v>0</v>
      </c>
      <c r="T74" s="287">
        <v>0</v>
      </c>
      <c r="U74" s="783">
        <f>S74-T74-T75-T76</f>
        <v>0</v>
      </c>
      <c r="V74" s="789">
        <f>S74*0.8</f>
        <v>0</v>
      </c>
      <c r="W74" s="287"/>
      <c r="X74" s="783">
        <f>V74-W74-W75-W76</f>
        <v>0</v>
      </c>
      <c r="Y74" s="783">
        <f t="shared" ref="Y74" si="71">S74*0.17/1.065</f>
        <v>0</v>
      </c>
      <c r="Z74" s="287"/>
      <c r="AA74" s="287"/>
      <c r="AB74" s="783">
        <f t="shared" ref="AB74" si="72">V74*0.2/1.065</f>
        <v>0</v>
      </c>
      <c r="AC74" s="287"/>
      <c r="AD74" s="287"/>
      <c r="AE74" s="277"/>
      <c r="AF74" s="277"/>
      <c r="AG74" s="288"/>
      <c r="AH74" s="792">
        <f>V74-Y74-AB74-AG74-AG75-AG76</f>
        <v>0</v>
      </c>
      <c r="AI74" s="774" t="s">
        <v>1044</v>
      </c>
      <c r="AJ74" s="43"/>
    </row>
    <row r="75" spans="1:36" ht="24.95" customHeight="1" x14ac:dyDescent="0.2">
      <c r="A75" s="857"/>
      <c r="B75" s="881"/>
      <c r="C75" s="861"/>
      <c r="D75" s="898"/>
      <c r="E75" s="863"/>
      <c r="F75" s="896"/>
      <c r="G75" s="779"/>
      <c r="H75" s="780"/>
      <c r="I75" s="877"/>
      <c r="J75" s="877"/>
      <c r="K75" s="799"/>
      <c r="L75" s="796"/>
      <c r="M75" s="796"/>
      <c r="N75" s="799"/>
      <c r="O75" s="784"/>
      <c r="P75" s="796"/>
      <c r="Q75" s="796"/>
      <c r="R75" s="784"/>
      <c r="S75" s="787"/>
      <c r="T75" s="287">
        <v>0</v>
      </c>
      <c r="U75" s="784"/>
      <c r="V75" s="790"/>
      <c r="W75" s="287"/>
      <c r="X75" s="784"/>
      <c r="Y75" s="784"/>
      <c r="Z75" s="287"/>
      <c r="AA75" s="287"/>
      <c r="AB75" s="784"/>
      <c r="AC75" s="287"/>
      <c r="AD75" s="287"/>
      <c r="AE75" s="277"/>
      <c r="AF75" s="277"/>
      <c r="AG75" s="288"/>
      <c r="AH75" s="793"/>
      <c r="AI75" s="775"/>
      <c r="AJ75" s="43"/>
    </row>
    <row r="76" spans="1:36" ht="24.95" customHeight="1" x14ac:dyDescent="0.2">
      <c r="A76" s="879"/>
      <c r="B76" s="882"/>
      <c r="C76" s="883"/>
      <c r="D76" s="899"/>
      <c r="E76" s="894"/>
      <c r="F76" s="897"/>
      <c r="G76" s="781"/>
      <c r="H76" s="782"/>
      <c r="I76" s="878"/>
      <c r="J76" s="878"/>
      <c r="K76" s="800"/>
      <c r="L76" s="797"/>
      <c r="M76" s="797"/>
      <c r="N76" s="800"/>
      <c r="O76" s="785"/>
      <c r="P76" s="797"/>
      <c r="Q76" s="797"/>
      <c r="R76" s="785"/>
      <c r="S76" s="788"/>
      <c r="T76" s="287">
        <v>0</v>
      </c>
      <c r="U76" s="785"/>
      <c r="V76" s="791"/>
      <c r="W76" s="287"/>
      <c r="X76" s="785"/>
      <c r="Y76" s="785"/>
      <c r="Z76" s="287"/>
      <c r="AA76" s="287"/>
      <c r="AB76" s="785"/>
      <c r="AC76" s="287"/>
      <c r="AD76" s="287"/>
      <c r="AE76" s="277"/>
      <c r="AF76" s="277"/>
      <c r="AG76" s="288"/>
      <c r="AH76" s="794"/>
      <c r="AI76" s="776"/>
      <c r="AJ76" s="43"/>
    </row>
    <row r="77" spans="1:36" ht="24.95" customHeight="1" x14ac:dyDescent="0.2">
      <c r="A77" s="856">
        <v>10</v>
      </c>
      <c r="B77" s="880" t="s">
        <v>775</v>
      </c>
      <c r="C77" s="860">
        <v>2023.8</v>
      </c>
      <c r="D77" s="821" t="s">
        <v>776</v>
      </c>
      <c r="E77" s="862" t="s">
        <v>747</v>
      </c>
      <c r="F77" s="895" t="s">
        <v>783</v>
      </c>
      <c r="G77" s="270" t="s">
        <v>651</v>
      </c>
      <c r="H77" s="270" t="s">
        <v>586</v>
      </c>
      <c r="I77" s="876">
        <f>719500*0.85</f>
        <v>611575</v>
      </c>
      <c r="J77" s="876">
        <f>719500*0.15</f>
        <v>107925</v>
      </c>
      <c r="K77" s="798"/>
      <c r="L77" s="795"/>
      <c r="M77" s="795"/>
      <c r="N77" s="798"/>
      <c r="O77" s="783">
        <f t="shared" ref="O77:Q77" si="73">L77</f>
        <v>0</v>
      </c>
      <c r="P77" s="795">
        <f t="shared" si="73"/>
        <v>0</v>
      </c>
      <c r="Q77" s="795">
        <f t="shared" si="73"/>
        <v>0</v>
      </c>
      <c r="R77" s="783">
        <f>SUM(O77:Q79)</f>
        <v>0</v>
      </c>
      <c r="S77" s="786">
        <f>R77</f>
        <v>0</v>
      </c>
      <c r="T77" s="287">
        <v>0</v>
      </c>
      <c r="U77" s="783">
        <f>S77-T77-T78-T79</f>
        <v>0</v>
      </c>
      <c r="V77" s="789">
        <f>S77*0.8</f>
        <v>0</v>
      </c>
      <c r="W77" s="287"/>
      <c r="X77" s="783">
        <f>V77-W77-W78-W79</f>
        <v>0</v>
      </c>
      <c r="Y77" s="783">
        <f t="shared" ref="Y77" si="74">S77*0.17/1.065</f>
        <v>0</v>
      </c>
      <c r="Z77" s="287"/>
      <c r="AA77" s="287"/>
      <c r="AB77" s="783">
        <f t="shared" ref="AB77" si="75">V77*0.2/1.065</f>
        <v>0</v>
      </c>
      <c r="AC77" s="287"/>
      <c r="AD77" s="287"/>
      <c r="AE77" s="278" t="s">
        <v>784</v>
      </c>
      <c r="AF77" s="278" t="s">
        <v>749</v>
      </c>
      <c r="AG77" s="290">
        <f>10.842*5000</f>
        <v>54210</v>
      </c>
      <c r="AH77" s="792">
        <f>V77-Y77-AB77-AG77-AG78-AG79</f>
        <v>-58110</v>
      </c>
      <c r="AI77" s="774"/>
      <c r="AJ77" s="43"/>
    </row>
    <row r="78" spans="1:36" ht="24.95" customHeight="1" x14ac:dyDescent="0.2">
      <c r="A78" s="857"/>
      <c r="B78" s="881"/>
      <c r="C78" s="861"/>
      <c r="D78" s="821"/>
      <c r="E78" s="863"/>
      <c r="F78" s="896"/>
      <c r="G78" s="270" t="s">
        <v>817</v>
      </c>
      <c r="H78" s="270" t="s">
        <v>825</v>
      </c>
      <c r="I78" s="877"/>
      <c r="J78" s="877"/>
      <c r="K78" s="799"/>
      <c r="L78" s="796"/>
      <c r="M78" s="796"/>
      <c r="N78" s="799"/>
      <c r="O78" s="784"/>
      <c r="P78" s="796"/>
      <c r="Q78" s="796"/>
      <c r="R78" s="784"/>
      <c r="S78" s="787"/>
      <c r="T78" s="287">
        <v>0</v>
      </c>
      <c r="U78" s="784"/>
      <c r="V78" s="790"/>
      <c r="W78" s="287"/>
      <c r="X78" s="784"/>
      <c r="Y78" s="784"/>
      <c r="Z78" s="287"/>
      <c r="AA78" s="287"/>
      <c r="AB78" s="784"/>
      <c r="AC78" s="287"/>
      <c r="AD78" s="287"/>
      <c r="AE78" s="278" t="s">
        <v>590</v>
      </c>
      <c r="AF78" s="278" t="s">
        <v>592</v>
      </c>
      <c r="AG78" s="290">
        <f>26*150</f>
        <v>3900</v>
      </c>
      <c r="AH78" s="793"/>
      <c r="AI78" s="775"/>
      <c r="AJ78" s="43"/>
    </row>
    <row r="79" spans="1:36" ht="24.95" customHeight="1" x14ac:dyDescent="0.2">
      <c r="A79" s="857"/>
      <c r="B79" s="881"/>
      <c r="C79" s="883"/>
      <c r="D79" s="880"/>
      <c r="E79" s="863"/>
      <c r="F79" s="896"/>
      <c r="G79" s="270" t="s">
        <v>818</v>
      </c>
      <c r="H79" s="270" t="s">
        <v>585</v>
      </c>
      <c r="I79" s="878"/>
      <c r="J79" s="878"/>
      <c r="K79" s="800"/>
      <c r="L79" s="797"/>
      <c r="M79" s="797"/>
      <c r="N79" s="800"/>
      <c r="O79" s="785"/>
      <c r="P79" s="797"/>
      <c r="Q79" s="797"/>
      <c r="R79" s="785"/>
      <c r="S79" s="788"/>
      <c r="T79" s="287">
        <v>0</v>
      </c>
      <c r="U79" s="785"/>
      <c r="V79" s="791"/>
      <c r="W79" s="287"/>
      <c r="X79" s="785"/>
      <c r="Y79" s="785"/>
      <c r="Z79" s="287"/>
      <c r="AA79" s="287"/>
      <c r="AB79" s="785"/>
      <c r="AC79" s="287"/>
      <c r="AD79" s="287"/>
      <c r="AE79" s="277"/>
      <c r="AF79" s="277"/>
      <c r="AG79" s="288"/>
      <c r="AH79" s="794"/>
      <c r="AI79" s="776"/>
      <c r="AJ79" s="43"/>
    </row>
    <row r="80" spans="1:36" ht="24.95" customHeight="1" x14ac:dyDescent="0.2">
      <c r="A80" s="857"/>
      <c r="B80" s="881"/>
      <c r="C80" s="860">
        <v>2023.8</v>
      </c>
      <c r="D80" s="821" t="s">
        <v>777</v>
      </c>
      <c r="E80" s="863"/>
      <c r="F80" s="896"/>
      <c r="G80" s="870"/>
      <c r="H80" s="871"/>
      <c r="I80" s="876">
        <f>201700*0.85</f>
        <v>171445</v>
      </c>
      <c r="J80" s="876">
        <f>201700*0.15</f>
        <v>30255</v>
      </c>
      <c r="K80" s="798"/>
      <c r="L80" s="795"/>
      <c r="M80" s="795"/>
      <c r="N80" s="798"/>
      <c r="O80" s="783">
        <f t="shared" ref="O80:Q80" si="76">L80</f>
        <v>0</v>
      </c>
      <c r="P80" s="795">
        <f t="shared" si="76"/>
        <v>0</v>
      </c>
      <c r="Q80" s="795">
        <f t="shared" si="76"/>
        <v>0</v>
      </c>
      <c r="R80" s="783">
        <f>SUM(O80:Q82)</f>
        <v>0</v>
      </c>
      <c r="S80" s="786">
        <f>R80</f>
        <v>0</v>
      </c>
      <c r="T80" s="287">
        <v>0</v>
      </c>
      <c r="U80" s="783">
        <f>S80-T80-T81-T82</f>
        <v>0</v>
      </c>
      <c r="V80" s="789">
        <f>S80*0.8</f>
        <v>0</v>
      </c>
      <c r="W80" s="287"/>
      <c r="X80" s="783">
        <f>V80-W80-W81-W82</f>
        <v>0</v>
      </c>
      <c r="Y80" s="783">
        <f t="shared" ref="Y80" si="77">S80*0.17/1.065</f>
        <v>0</v>
      </c>
      <c r="Z80" s="287"/>
      <c r="AA80" s="287"/>
      <c r="AB80" s="783">
        <f t="shared" ref="AB80" si="78">V80*0.2/1.065</f>
        <v>0</v>
      </c>
      <c r="AC80" s="287"/>
      <c r="AD80" s="287"/>
      <c r="AE80" s="278" t="s">
        <v>784</v>
      </c>
      <c r="AF80" s="278" t="s">
        <v>749</v>
      </c>
      <c r="AG80" s="290">
        <f>2.253*5000</f>
        <v>11265</v>
      </c>
      <c r="AH80" s="792">
        <f>V80-Y80-AB80-AG80-AG81-AG82</f>
        <v>-12915</v>
      </c>
      <c r="AI80" s="774"/>
      <c r="AJ80" s="43"/>
    </row>
    <row r="81" spans="1:36" ht="24.95" customHeight="1" x14ac:dyDescent="0.2">
      <c r="A81" s="857"/>
      <c r="B81" s="881"/>
      <c r="C81" s="861"/>
      <c r="D81" s="821"/>
      <c r="E81" s="863"/>
      <c r="F81" s="896"/>
      <c r="G81" s="872"/>
      <c r="H81" s="873"/>
      <c r="I81" s="877"/>
      <c r="J81" s="877"/>
      <c r="K81" s="799"/>
      <c r="L81" s="796"/>
      <c r="M81" s="796"/>
      <c r="N81" s="799"/>
      <c r="O81" s="784"/>
      <c r="P81" s="796"/>
      <c r="Q81" s="796"/>
      <c r="R81" s="784"/>
      <c r="S81" s="787"/>
      <c r="T81" s="287">
        <v>0</v>
      </c>
      <c r="U81" s="784"/>
      <c r="V81" s="790"/>
      <c r="W81" s="287"/>
      <c r="X81" s="784"/>
      <c r="Y81" s="784"/>
      <c r="Z81" s="287"/>
      <c r="AA81" s="287"/>
      <c r="AB81" s="784"/>
      <c r="AC81" s="287"/>
      <c r="AD81" s="287"/>
      <c r="AE81" s="278" t="s">
        <v>590</v>
      </c>
      <c r="AF81" s="278" t="s">
        <v>592</v>
      </c>
      <c r="AG81" s="290">
        <f>11*150</f>
        <v>1650</v>
      </c>
      <c r="AH81" s="793"/>
      <c r="AI81" s="775"/>
      <c r="AJ81" s="43"/>
    </row>
    <row r="82" spans="1:36" ht="24.95" customHeight="1" x14ac:dyDescent="0.2">
      <c r="A82" s="879"/>
      <c r="B82" s="882"/>
      <c r="C82" s="883"/>
      <c r="D82" s="880"/>
      <c r="E82" s="894"/>
      <c r="F82" s="897"/>
      <c r="G82" s="874"/>
      <c r="H82" s="875"/>
      <c r="I82" s="878"/>
      <c r="J82" s="878"/>
      <c r="K82" s="800"/>
      <c r="L82" s="797"/>
      <c r="M82" s="797"/>
      <c r="N82" s="800"/>
      <c r="O82" s="785"/>
      <c r="P82" s="797"/>
      <c r="Q82" s="797"/>
      <c r="R82" s="785"/>
      <c r="S82" s="788"/>
      <c r="T82" s="287">
        <v>0</v>
      </c>
      <c r="U82" s="785"/>
      <c r="V82" s="791"/>
      <c r="W82" s="287"/>
      <c r="X82" s="785"/>
      <c r="Y82" s="785"/>
      <c r="Z82" s="287"/>
      <c r="AA82" s="287"/>
      <c r="AB82" s="785"/>
      <c r="AC82" s="287"/>
      <c r="AD82" s="287"/>
      <c r="AE82" s="277"/>
      <c r="AF82" s="277"/>
      <c r="AG82" s="288"/>
      <c r="AH82" s="794"/>
      <c r="AI82" s="776"/>
      <c r="AJ82" s="43"/>
    </row>
    <row r="83" spans="1:36" ht="24.95" customHeight="1" x14ac:dyDescent="0.2">
      <c r="A83" s="856">
        <v>11</v>
      </c>
      <c r="B83" s="880" t="s">
        <v>781</v>
      </c>
      <c r="C83" s="860">
        <v>2023.8</v>
      </c>
      <c r="D83" s="925" t="s">
        <v>782</v>
      </c>
      <c r="E83" s="884" t="s">
        <v>747</v>
      </c>
      <c r="F83" s="822" t="s">
        <v>785</v>
      </c>
      <c r="G83" s="270" t="s">
        <v>651</v>
      </c>
      <c r="H83" s="270" t="s">
        <v>575</v>
      </c>
      <c r="I83" s="876">
        <f>534809*0.85</f>
        <v>454587.64999999997</v>
      </c>
      <c r="J83" s="795">
        <f>534809*0.15</f>
        <v>80221.349999999991</v>
      </c>
      <c r="K83" s="798"/>
      <c r="L83" s="795"/>
      <c r="M83" s="795"/>
      <c r="N83" s="798"/>
      <c r="O83" s="783">
        <f t="shared" ref="O83:Q83" si="79">L83</f>
        <v>0</v>
      </c>
      <c r="P83" s="795">
        <f t="shared" si="79"/>
        <v>0</v>
      </c>
      <c r="Q83" s="795">
        <f t="shared" si="79"/>
        <v>0</v>
      </c>
      <c r="R83" s="783">
        <f>SUM(O83:Q85)</f>
        <v>0</v>
      </c>
      <c r="S83" s="786">
        <f>R83</f>
        <v>0</v>
      </c>
      <c r="T83" s="287">
        <v>0</v>
      </c>
      <c r="U83" s="783">
        <f>S83-T83-T84-T85</f>
        <v>0</v>
      </c>
      <c r="V83" s="789">
        <f>S83*0.8</f>
        <v>0</v>
      </c>
      <c r="W83" s="287"/>
      <c r="X83" s="783">
        <f>V83-W83-W84-W85</f>
        <v>0</v>
      </c>
      <c r="Y83" s="783">
        <f t="shared" ref="Y83" si="80">S83*0.17/1.065</f>
        <v>0</v>
      </c>
      <c r="Z83" s="287"/>
      <c r="AA83" s="287"/>
      <c r="AB83" s="783">
        <f t="shared" ref="AB83" si="81">V83*0.2/1.065</f>
        <v>0</v>
      </c>
      <c r="AC83" s="287"/>
      <c r="AD83" s="287"/>
      <c r="AE83" s="278" t="s">
        <v>590</v>
      </c>
      <c r="AF83" s="278" t="s">
        <v>749</v>
      </c>
      <c r="AG83" s="290">
        <f>8.175*2500*1.6</f>
        <v>32700</v>
      </c>
      <c r="AH83" s="792">
        <f>V83-Y83-AB83-AG83-AG84-AG85</f>
        <v>-33900</v>
      </c>
      <c r="AI83" s="774"/>
      <c r="AJ83" s="43"/>
    </row>
    <row r="84" spans="1:36" ht="24.95" customHeight="1" x14ac:dyDescent="0.2">
      <c r="A84" s="857"/>
      <c r="B84" s="881"/>
      <c r="C84" s="861"/>
      <c r="D84" s="925"/>
      <c r="E84" s="884"/>
      <c r="F84" s="822"/>
      <c r="G84" s="270" t="s">
        <v>817</v>
      </c>
      <c r="H84" s="270" t="s">
        <v>826</v>
      </c>
      <c r="I84" s="877"/>
      <c r="J84" s="796"/>
      <c r="K84" s="799"/>
      <c r="L84" s="796"/>
      <c r="M84" s="796"/>
      <c r="N84" s="799"/>
      <c r="O84" s="784"/>
      <c r="P84" s="796"/>
      <c r="Q84" s="796"/>
      <c r="R84" s="784"/>
      <c r="S84" s="787"/>
      <c r="T84" s="287">
        <v>0</v>
      </c>
      <c r="U84" s="784"/>
      <c r="V84" s="790"/>
      <c r="W84" s="287"/>
      <c r="X84" s="784"/>
      <c r="Y84" s="784"/>
      <c r="Z84" s="287"/>
      <c r="AA84" s="287"/>
      <c r="AB84" s="784"/>
      <c r="AC84" s="287"/>
      <c r="AD84" s="287"/>
      <c r="AE84" s="278" t="s">
        <v>590</v>
      </c>
      <c r="AF84" s="278" t="s">
        <v>592</v>
      </c>
      <c r="AG84" s="290">
        <f>8*150</f>
        <v>1200</v>
      </c>
      <c r="AH84" s="793"/>
      <c r="AI84" s="775"/>
      <c r="AJ84" s="43"/>
    </row>
    <row r="85" spans="1:36" ht="24.95" customHeight="1" x14ac:dyDescent="0.2">
      <c r="A85" s="879"/>
      <c r="B85" s="882"/>
      <c r="C85" s="883"/>
      <c r="D85" s="926"/>
      <c r="E85" s="862"/>
      <c r="F85" s="895"/>
      <c r="G85" s="270" t="s">
        <v>818</v>
      </c>
      <c r="H85" s="270" t="s">
        <v>585</v>
      </c>
      <c r="I85" s="878"/>
      <c r="J85" s="797"/>
      <c r="K85" s="800"/>
      <c r="L85" s="797"/>
      <c r="M85" s="797"/>
      <c r="N85" s="800"/>
      <c r="O85" s="785"/>
      <c r="P85" s="797"/>
      <c r="Q85" s="797"/>
      <c r="R85" s="785"/>
      <c r="S85" s="788"/>
      <c r="T85" s="287">
        <v>0</v>
      </c>
      <c r="U85" s="785"/>
      <c r="V85" s="791"/>
      <c r="W85" s="287"/>
      <c r="X85" s="785"/>
      <c r="Y85" s="785"/>
      <c r="Z85" s="287"/>
      <c r="AA85" s="287"/>
      <c r="AB85" s="785"/>
      <c r="AC85" s="287"/>
      <c r="AD85" s="287"/>
      <c r="AE85" s="277"/>
      <c r="AF85" s="277"/>
      <c r="AG85" s="288"/>
      <c r="AH85" s="794"/>
      <c r="AI85" s="776"/>
      <c r="AJ85" s="43"/>
    </row>
    <row r="86" spans="1:36" ht="24.95" customHeight="1" x14ac:dyDescent="0.2">
      <c r="A86" s="856">
        <v>12</v>
      </c>
      <c r="B86" s="880" t="s">
        <v>792</v>
      </c>
      <c r="C86" s="860">
        <v>2023.9</v>
      </c>
      <c r="D86" s="821" t="s">
        <v>870</v>
      </c>
      <c r="E86" s="884" t="s">
        <v>747</v>
      </c>
      <c r="F86" s="822" t="s">
        <v>793</v>
      </c>
      <c r="G86" s="270" t="s">
        <v>651</v>
      </c>
      <c r="H86" s="270" t="s">
        <v>586</v>
      </c>
      <c r="I86" s="876">
        <v>20004</v>
      </c>
      <c r="J86" s="798"/>
      <c r="K86" s="798"/>
      <c r="L86" s="795">
        <v>18764</v>
      </c>
      <c r="M86" s="798"/>
      <c r="N86" s="798"/>
      <c r="O86" s="783">
        <v>18764</v>
      </c>
      <c r="P86" s="795">
        <f t="shared" ref="P86:Q86" si="82">M86</f>
        <v>0</v>
      </c>
      <c r="Q86" s="795">
        <f t="shared" si="82"/>
        <v>0</v>
      </c>
      <c r="R86" s="783">
        <f>SUM(O86:Q88)</f>
        <v>18764</v>
      </c>
      <c r="S86" s="786">
        <f>R86</f>
        <v>18764</v>
      </c>
      <c r="T86" s="287">
        <v>16887</v>
      </c>
      <c r="U86" s="783">
        <f>S86-T86-T87-T88</f>
        <v>0</v>
      </c>
      <c r="V86" s="789">
        <f>S86*0.8</f>
        <v>15011.2</v>
      </c>
      <c r="W86" s="287">
        <f>T86*0.8</f>
        <v>13509.6</v>
      </c>
      <c r="X86" s="783">
        <f>V86-W86-W87-W88</f>
        <v>4.5474735088646412E-13</v>
      </c>
      <c r="Y86" s="783">
        <f t="shared" ref="Y86" si="83">S86*0.17/1.065</f>
        <v>2995.192488262911</v>
      </c>
      <c r="Z86" s="287"/>
      <c r="AA86" s="287"/>
      <c r="AB86" s="783">
        <f t="shared" ref="AB86" si="84">V86*0.2/1.065</f>
        <v>2819.0046948356812</v>
      </c>
      <c r="AC86" s="287"/>
      <c r="AD86" s="287"/>
      <c r="AE86" s="278"/>
      <c r="AF86" s="278"/>
      <c r="AG86" s="290"/>
      <c r="AH86" s="792">
        <f>V86-Y86-AB86-AG86-AG87-AG88</f>
        <v>9197.0028169014095</v>
      </c>
      <c r="AI86" s="774"/>
      <c r="AJ86" s="43"/>
    </row>
    <row r="87" spans="1:36" ht="24.95" customHeight="1" x14ac:dyDescent="0.2">
      <c r="A87" s="857"/>
      <c r="B87" s="881"/>
      <c r="C87" s="861"/>
      <c r="D87" s="821"/>
      <c r="E87" s="884"/>
      <c r="F87" s="822"/>
      <c r="G87" s="270" t="s">
        <v>817</v>
      </c>
      <c r="H87" s="270" t="s">
        <v>827</v>
      </c>
      <c r="I87" s="877"/>
      <c r="J87" s="799"/>
      <c r="K87" s="799"/>
      <c r="L87" s="796"/>
      <c r="M87" s="799"/>
      <c r="N87" s="799"/>
      <c r="O87" s="784"/>
      <c r="P87" s="796"/>
      <c r="Q87" s="796"/>
      <c r="R87" s="784"/>
      <c r="S87" s="787"/>
      <c r="T87" s="287">
        <v>1877</v>
      </c>
      <c r="U87" s="784"/>
      <c r="V87" s="790"/>
      <c r="W87" s="287">
        <v>1501.6</v>
      </c>
      <c r="X87" s="784"/>
      <c r="Y87" s="784"/>
      <c r="Z87" s="287"/>
      <c r="AA87" s="287"/>
      <c r="AB87" s="784"/>
      <c r="AC87" s="287"/>
      <c r="AD87" s="287"/>
      <c r="AE87" s="278"/>
      <c r="AF87" s="278"/>
      <c r="AG87" s="290"/>
      <c r="AH87" s="793"/>
      <c r="AI87" s="775"/>
      <c r="AJ87" s="43"/>
    </row>
    <row r="88" spans="1:36" ht="24.95" customHeight="1" x14ac:dyDescent="0.2">
      <c r="A88" s="857"/>
      <c r="B88" s="881"/>
      <c r="C88" s="883"/>
      <c r="D88" s="880"/>
      <c r="E88" s="862"/>
      <c r="F88" s="895"/>
      <c r="G88" s="270" t="s">
        <v>818</v>
      </c>
      <c r="H88" s="270" t="s">
        <v>32</v>
      </c>
      <c r="I88" s="878"/>
      <c r="J88" s="800"/>
      <c r="K88" s="800"/>
      <c r="L88" s="797"/>
      <c r="M88" s="800"/>
      <c r="N88" s="800"/>
      <c r="O88" s="785"/>
      <c r="P88" s="797"/>
      <c r="Q88" s="797"/>
      <c r="R88" s="785"/>
      <c r="S88" s="788"/>
      <c r="T88" s="287">
        <v>0</v>
      </c>
      <c r="U88" s="785"/>
      <c r="V88" s="791"/>
      <c r="W88" s="287"/>
      <c r="X88" s="785"/>
      <c r="Y88" s="785"/>
      <c r="Z88" s="287"/>
      <c r="AA88" s="287"/>
      <c r="AB88" s="785"/>
      <c r="AC88" s="287"/>
      <c r="AD88" s="287"/>
      <c r="AE88" s="278"/>
      <c r="AF88" s="278"/>
      <c r="AG88" s="290"/>
      <c r="AH88" s="794"/>
      <c r="AI88" s="776"/>
      <c r="AJ88" s="43"/>
    </row>
    <row r="89" spans="1:36" ht="24.95" customHeight="1" x14ac:dyDescent="0.2">
      <c r="A89" s="857"/>
      <c r="B89" s="881"/>
      <c r="C89" s="860"/>
      <c r="D89" s="821" t="s">
        <v>871</v>
      </c>
      <c r="E89" s="884"/>
      <c r="F89" s="822"/>
      <c r="G89" s="870"/>
      <c r="H89" s="871"/>
      <c r="I89" s="876">
        <v>55254</v>
      </c>
      <c r="J89" s="798"/>
      <c r="K89" s="798"/>
      <c r="L89" s="795">
        <v>5379</v>
      </c>
      <c r="M89" s="798"/>
      <c r="N89" s="798"/>
      <c r="O89" s="783">
        <v>53979</v>
      </c>
      <c r="P89" s="795">
        <f t="shared" ref="P89" si="85">M89</f>
        <v>0</v>
      </c>
      <c r="Q89" s="795">
        <f t="shared" ref="Q89" si="86">N89</f>
        <v>0</v>
      </c>
      <c r="R89" s="783">
        <f>SUM(O89:Q91)</f>
        <v>53979</v>
      </c>
      <c r="S89" s="786">
        <f>R89</f>
        <v>53979</v>
      </c>
      <c r="T89" s="287">
        <v>48581</v>
      </c>
      <c r="U89" s="783">
        <f>S89-T89-T90-T91</f>
        <v>0</v>
      </c>
      <c r="V89" s="789">
        <f>S89*0.8</f>
        <v>43183.200000000004</v>
      </c>
      <c r="W89" s="287">
        <f>T89*0.8</f>
        <v>38864.800000000003</v>
      </c>
      <c r="X89" s="783">
        <f>V89-W89-W90-W91</f>
        <v>1.8189894035458565E-12</v>
      </c>
      <c r="Y89" s="783">
        <f t="shared" ref="Y89" si="87">S89*0.17/1.065</f>
        <v>8616.3661971830988</v>
      </c>
      <c r="Z89" s="287"/>
      <c r="AA89" s="287"/>
      <c r="AB89" s="783">
        <f t="shared" ref="AB89" si="88">V89*0.2/1.065</f>
        <v>8109.5211267605646</v>
      </c>
      <c r="AC89" s="287"/>
      <c r="AD89" s="287"/>
      <c r="AE89" s="278"/>
      <c r="AF89" s="278"/>
      <c r="AG89" s="290"/>
      <c r="AH89" s="792">
        <f>V89-Y89-AB89-AG89-AG90-AG91</f>
        <v>26457.312676056346</v>
      </c>
      <c r="AI89" s="774"/>
      <c r="AJ89" s="43"/>
    </row>
    <row r="90" spans="1:36" ht="24.95" customHeight="1" x14ac:dyDescent="0.2">
      <c r="A90" s="857"/>
      <c r="B90" s="881"/>
      <c r="C90" s="861"/>
      <c r="D90" s="821"/>
      <c r="E90" s="884"/>
      <c r="F90" s="822"/>
      <c r="G90" s="872"/>
      <c r="H90" s="873"/>
      <c r="I90" s="877"/>
      <c r="J90" s="799"/>
      <c r="K90" s="799"/>
      <c r="L90" s="796"/>
      <c r="M90" s="799"/>
      <c r="N90" s="799"/>
      <c r="O90" s="784"/>
      <c r="P90" s="796"/>
      <c r="Q90" s="796"/>
      <c r="R90" s="784"/>
      <c r="S90" s="787"/>
      <c r="T90" s="287">
        <v>5398</v>
      </c>
      <c r="U90" s="784"/>
      <c r="V90" s="790"/>
      <c r="W90" s="287">
        <v>4318.3999999999996</v>
      </c>
      <c r="X90" s="784"/>
      <c r="Y90" s="784"/>
      <c r="Z90" s="287"/>
      <c r="AA90" s="287"/>
      <c r="AB90" s="784"/>
      <c r="AC90" s="287"/>
      <c r="AD90" s="287"/>
      <c r="AE90" s="278"/>
      <c r="AF90" s="278"/>
      <c r="AG90" s="290"/>
      <c r="AH90" s="793"/>
      <c r="AI90" s="775"/>
      <c r="AJ90" s="43"/>
    </row>
    <row r="91" spans="1:36" ht="24.95" customHeight="1" x14ac:dyDescent="0.2">
      <c r="A91" s="857"/>
      <c r="B91" s="881"/>
      <c r="C91" s="883"/>
      <c r="D91" s="880"/>
      <c r="E91" s="862"/>
      <c r="F91" s="895"/>
      <c r="G91" s="872"/>
      <c r="H91" s="873"/>
      <c r="I91" s="878"/>
      <c r="J91" s="800"/>
      <c r="K91" s="800"/>
      <c r="L91" s="797"/>
      <c r="M91" s="800"/>
      <c r="N91" s="800"/>
      <c r="O91" s="785"/>
      <c r="P91" s="797"/>
      <c r="Q91" s="797"/>
      <c r="R91" s="785"/>
      <c r="S91" s="788"/>
      <c r="T91" s="287">
        <v>0</v>
      </c>
      <c r="U91" s="785"/>
      <c r="V91" s="791"/>
      <c r="W91" s="287"/>
      <c r="X91" s="785"/>
      <c r="Y91" s="785"/>
      <c r="Z91" s="287"/>
      <c r="AA91" s="287"/>
      <c r="AB91" s="785"/>
      <c r="AC91" s="287"/>
      <c r="AD91" s="287"/>
      <c r="AE91" s="278"/>
      <c r="AF91" s="278"/>
      <c r="AG91" s="290"/>
      <c r="AH91" s="794"/>
      <c r="AI91" s="776"/>
      <c r="AJ91" s="43"/>
    </row>
    <row r="92" spans="1:36" ht="24.95" customHeight="1" x14ac:dyDescent="0.2">
      <c r="A92" s="857"/>
      <c r="B92" s="881"/>
      <c r="C92" s="860"/>
      <c r="D92" s="821" t="s">
        <v>872</v>
      </c>
      <c r="E92" s="884"/>
      <c r="F92" s="822"/>
      <c r="G92" s="872"/>
      <c r="H92" s="873"/>
      <c r="I92" s="876">
        <v>109889</v>
      </c>
      <c r="J92" s="798"/>
      <c r="K92" s="798"/>
      <c r="L92" s="795">
        <v>109806</v>
      </c>
      <c r="M92" s="798"/>
      <c r="N92" s="798"/>
      <c r="O92" s="783">
        <v>109806</v>
      </c>
      <c r="P92" s="795">
        <f t="shared" ref="P92" si="89">M92</f>
        <v>0</v>
      </c>
      <c r="Q92" s="795">
        <f t="shared" ref="Q92" si="90">N92</f>
        <v>0</v>
      </c>
      <c r="R92" s="783">
        <f>SUM(O92:Q94)</f>
        <v>109806</v>
      </c>
      <c r="S92" s="786">
        <f>R92</f>
        <v>109806</v>
      </c>
      <c r="T92" s="287">
        <v>98825</v>
      </c>
      <c r="U92" s="783">
        <f>S92-T92-T93-T94</f>
        <v>0</v>
      </c>
      <c r="V92" s="789">
        <f>S92*0.8</f>
        <v>87844.800000000003</v>
      </c>
      <c r="W92" s="287">
        <f>T92*0.8</f>
        <v>79060</v>
      </c>
      <c r="X92" s="783">
        <f>V92-W92-W93-W94</f>
        <v>3.637978807091713E-12</v>
      </c>
      <c r="Y92" s="783">
        <f t="shared" ref="Y92" si="91">S92*0.17/1.065</f>
        <v>17527.718309859156</v>
      </c>
      <c r="Z92" s="287"/>
      <c r="AA92" s="287"/>
      <c r="AB92" s="783">
        <f t="shared" ref="AB92" si="92">V92*0.2/1.065</f>
        <v>16496.67605633803</v>
      </c>
      <c r="AC92" s="287"/>
      <c r="AD92" s="287"/>
      <c r="AE92" s="278"/>
      <c r="AF92" s="278"/>
      <c r="AG92" s="290"/>
      <c r="AH92" s="792">
        <f>V92-Y92-AB92-AG92-AG93-AG94</f>
        <v>53820.405633802824</v>
      </c>
      <c r="AI92" s="774"/>
      <c r="AJ92" s="43"/>
    </row>
    <row r="93" spans="1:36" ht="24.95" customHeight="1" x14ac:dyDescent="0.2">
      <c r="A93" s="857"/>
      <c r="B93" s="881"/>
      <c r="C93" s="861"/>
      <c r="D93" s="821"/>
      <c r="E93" s="884"/>
      <c r="F93" s="822"/>
      <c r="G93" s="872"/>
      <c r="H93" s="873"/>
      <c r="I93" s="877"/>
      <c r="J93" s="799"/>
      <c r="K93" s="799"/>
      <c r="L93" s="796"/>
      <c r="M93" s="799"/>
      <c r="N93" s="799"/>
      <c r="O93" s="784"/>
      <c r="P93" s="796"/>
      <c r="Q93" s="796"/>
      <c r="R93" s="784"/>
      <c r="S93" s="787"/>
      <c r="T93" s="287">
        <v>10981</v>
      </c>
      <c r="U93" s="784"/>
      <c r="V93" s="790"/>
      <c r="W93" s="287">
        <v>8784.7999999999993</v>
      </c>
      <c r="X93" s="784"/>
      <c r="Y93" s="784"/>
      <c r="Z93" s="287"/>
      <c r="AA93" s="287"/>
      <c r="AB93" s="784"/>
      <c r="AC93" s="287"/>
      <c r="AD93" s="287"/>
      <c r="AE93" s="278"/>
      <c r="AF93" s="278"/>
      <c r="AG93" s="290"/>
      <c r="AH93" s="793"/>
      <c r="AI93" s="775"/>
      <c r="AJ93" s="43"/>
    </row>
    <row r="94" spans="1:36" ht="24.95" customHeight="1" x14ac:dyDescent="0.2">
      <c r="A94" s="857"/>
      <c r="B94" s="881"/>
      <c r="C94" s="883"/>
      <c r="D94" s="880"/>
      <c r="E94" s="862"/>
      <c r="F94" s="895"/>
      <c r="G94" s="872"/>
      <c r="H94" s="873"/>
      <c r="I94" s="878"/>
      <c r="J94" s="800"/>
      <c r="K94" s="800"/>
      <c r="L94" s="797"/>
      <c r="M94" s="800"/>
      <c r="N94" s="800"/>
      <c r="O94" s="785"/>
      <c r="P94" s="797"/>
      <c r="Q94" s="797"/>
      <c r="R94" s="785"/>
      <c r="S94" s="788"/>
      <c r="T94" s="287">
        <v>0</v>
      </c>
      <c r="U94" s="785"/>
      <c r="V94" s="791"/>
      <c r="W94" s="287"/>
      <c r="X94" s="785"/>
      <c r="Y94" s="785"/>
      <c r="Z94" s="287"/>
      <c r="AA94" s="287"/>
      <c r="AB94" s="785"/>
      <c r="AC94" s="287"/>
      <c r="AD94" s="287"/>
      <c r="AE94" s="278"/>
      <c r="AF94" s="278"/>
      <c r="AG94" s="290"/>
      <c r="AH94" s="794"/>
      <c r="AI94" s="776"/>
      <c r="AJ94" s="43"/>
    </row>
    <row r="95" spans="1:36" ht="24.95" customHeight="1" x14ac:dyDescent="0.2">
      <c r="A95" s="857"/>
      <c r="B95" s="881"/>
      <c r="C95" s="860"/>
      <c r="D95" s="821" t="s">
        <v>873</v>
      </c>
      <c r="E95" s="884"/>
      <c r="F95" s="822"/>
      <c r="G95" s="872"/>
      <c r="H95" s="873"/>
      <c r="I95" s="876">
        <v>21671</v>
      </c>
      <c r="J95" s="798"/>
      <c r="K95" s="798"/>
      <c r="L95" s="795">
        <v>21281</v>
      </c>
      <c r="M95" s="798"/>
      <c r="N95" s="798"/>
      <c r="O95" s="783">
        <v>21281</v>
      </c>
      <c r="P95" s="795">
        <f t="shared" ref="P95" si="93">M95</f>
        <v>0</v>
      </c>
      <c r="Q95" s="795">
        <f t="shared" ref="Q95" si="94">N95</f>
        <v>0</v>
      </c>
      <c r="R95" s="783">
        <f>SUM(O95:Q97)</f>
        <v>21281</v>
      </c>
      <c r="S95" s="786">
        <f>R95</f>
        <v>21281</v>
      </c>
      <c r="T95" s="287">
        <v>19153</v>
      </c>
      <c r="U95" s="783">
        <f>S95-T95-T96-T97</f>
        <v>0</v>
      </c>
      <c r="V95" s="789">
        <f>S95*0.8</f>
        <v>17024.8</v>
      </c>
      <c r="W95" s="287">
        <f>T95*0.8</f>
        <v>15322.400000000001</v>
      </c>
      <c r="X95" s="783">
        <f>V95-W95-W96-W97</f>
        <v>-2.2737367544323206E-12</v>
      </c>
      <c r="Y95" s="783">
        <f t="shared" ref="Y95" si="95">S95*0.17/1.065</f>
        <v>3396.9671361502355</v>
      </c>
      <c r="Z95" s="287"/>
      <c r="AA95" s="287"/>
      <c r="AB95" s="783">
        <f t="shared" ref="AB95" si="96">V95*0.2/1.065</f>
        <v>3197.1455399061033</v>
      </c>
      <c r="AC95" s="287"/>
      <c r="AD95" s="287"/>
      <c r="AE95" s="278"/>
      <c r="AF95" s="278"/>
      <c r="AG95" s="290"/>
      <c r="AH95" s="792">
        <f>V95-Y95-AB95-AG95-AG96-AG97</f>
        <v>10430.687323943661</v>
      </c>
      <c r="AI95" s="774"/>
      <c r="AJ95" s="43"/>
    </row>
    <row r="96" spans="1:36" ht="24.95" customHeight="1" x14ac:dyDescent="0.2">
      <c r="A96" s="857"/>
      <c r="B96" s="881"/>
      <c r="C96" s="861"/>
      <c r="D96" s="821"/>
      <c r="E96" s="884"/>
      <c r="F96" s="822"/>
      <c r="G96" s="872"/>
      <c r="H96" s="873"/>
      <c r="I96" s="877"/>
      <c r="J96" s="799"/>
      <c r="K96" s="799"/>
      <c r="L96" s="796"/>
      <c r="M96" s="799"/>
      <c r="N96" s="799"/>
      <c r="O96" s="784"/>
      <c r="P96" s="796"/>
      <c r="Q96" s="796"/>
      <c r="R96" s="784"/>
      <c r="S96" s="787"/>
      <c r="T96" s="287">
        <v>2128</v>
      </c>
      <c r="U96" s="784"/>
      <c r="V96" s="790"/>
      <c r="W96" s="287">
        <v>1702.4</v>
      </c>
      <c r="X96" s="784"/>
      <c r="Y96" s="784"/>
      <c r="Z96" s="287"/>
      <c r="AA96" s="287"/>
      <c r="AB96" s="784"/>
      <c r="AC96" s="287"/>
      <c r="AD96" s="287"/>
      <c r="AE96" s="278"/>
      <c r="AF96" s="278"/>
      <c r="AG96" s="290"/>
      <c r="AH96" s="793"/>
      <c r="AI96" s="775"/>
      <c r="AJ96" s="43"/>
    </row>
    <row r="97" spans="1:36" ht="24.95" customHeight="1" x14ac:dyDescent="0.2">
      <c r="A97" s="857"/>
      <c r="B97" s="881"/>
      <c r="C97" s="883"/>
      <c r="D97" s="880"/>
      <c r="E97" s="862"/>
      <c r="F97" s="895"/>
      <c r="G97" s="872"/>
      <c r="H97" s="873"/>
      <c r="I97" s="878"/>
      <c r="J97" s="800"/>
      <c r="K97" s="800"/>
      <c r="L97" s="797"/>
      <c r="M97" s="800"/>
      <c r="N97" s="800"/>
      <c r="O97" s="785"/>
      <c r="P97" s="797"/>
      <c r="Q97" s="797"/>
      <c r="R97" s="785"/>
      <c r="S97" s="788"/>
      <c r="T97" s="287">
        <v>0</v>
      </c>
      <c r="U97" s="785"/>
      <c r="V97" s="791"/>
      <c r="W97" s="287"/>
      <c r="X97" s="785"/>
      <c r="Y97" s="785"/>
      <c r="Z97" s="287"/>
      <c r="AA97" s="287"/>
      <c r="AB97" s="785"/>
      <c r="AC97" s="287"/>
      <c r="AD97" s="287"/>
      <c r="AE97" s="278"/>
      <c r="AF97" s="278"/>
      <c r="AG97" s="290"/>
      <c r="AH97" s="794"/>
      <c r="AI97" s="776"/>
      <c r="AJ97" s="43"/>
    </row>
    <row r="98" spans="1:36" ht="24.95" customHeight="1" x14ac:dyDescent="0.2">
      <c r="A98" s="857"/>
      <c r="B98" s="881"/>
      <c r="C98" s="860"/>
      <c r="D98" s="821" t="s">
        <v>874</v>
      </c>
      <c r="E98" s="884"/>
      <c r="F98" s="822"/>
      <c r="G98" s="872"/>
      <c r="H98" s="873"/>
      <c r="I98" s="876">
        <v>116822</v>
      </c>
      <c r="J98" s="798"/>
      <c r="K98" s="798"/>
      <c r="L98" s="795">
        <v>116821</v>
      </c>
      <c r="M98" s="798"/>
      <c r="N98" s="798"/>
      <c r="O98" s="783">
        <v>116821</v>
      </c>
      <c r="P98" s="795">
        <f t="shared" ref="P98" si="97">M98</f>
        <v>0</v>
      </c>
      <c r="Q98" s="795">
        <f t="shared" ref="Q98" si="98">N98</f>
        <v>0</v>
      </c>
      <c r="R98" s="783">
        <f>SUM(O98:Q100)</f>
        <v>116821</v>
      </c>
      <c r="S98" s="786">
        <f>R98</f>
        <v>116821</v>
      </c>
      <c r="T98" s="287">
        <v>105139</v>
      </c>
      <c r="U98" s="783">
        <f>S98-T98-T99-T100</f>
        <v>0</v>
      </c>
      <c r="V98" s="789">
        <f>S98*0.8</f>
        <v>93456.8</v>
      </c>
      <c r="W98" s="287">
        <f>T98*0.8</f>
        <v>84111.200000000012</v>
      </c>
      <c r="X98" s="783">
        <f>V98-W98-W99-W100</f>
        <v>-9.0949470177292824E-12</v>
      </c>
      <c r="Y98" s="783">
        <f t="shared" ref="Y98" si="99">S98*0.17/1.065</f>
        <v>18647.483568075117</v>
      </c>
      <c r="Z98" s="287"/>
      <c r="AA98" s="287"/>
      <c r="AB98" s="783">
        <f t="shared" ref="AB98" si="100">V98*0.2/1.065</f>
        <v>17550.572769953054</v>
      </c>
      <c r="AC98" s="287"/>
      <c r="AD98" s="287"/>
      <c r="AE98" s="278"/>
      <c r="AF98" s="278"/>
      <c r="AG98" s="290"/>
      <c r="AH98" s="792">
        <f>V98-Y98-AB98-AG98-AG99-AG100</f>
        <v>57258.743661971836</v>
      </c>
      <c r="AI98" s="774"/>
      <c r="AJ98" s="43"/>
    </row>
    <row r="99" spans="1:36" ht="24.95" customHeight="1" x14ac:dyDescent="0.2">
      <c r="A99" s="857"/>
      <c r="B99" s="881"/>
      <c r="C99" s="861"/>
      <c r="D99" s="821"/>
      <c r="E99" s="884"/>
      <c r="F99" s="822"/>
      <c r="G99" s="872"/>
      <c r="H99" s="873"/>
      <c r="I99" s="877"/>
      <c r="J99" s="799"/>
      <c r="K99" s="799"/>
      <c r="L99" s="796"/>
      <c r="M99" s="799"/>
      <c r="N99" s="799"/>
      <c r="O99" s="784"/>
      <c r="P99" s="796"/>
      <c r="Q99" s="796"/>
      <c r="R99" s="784"/>
      <c r="S99" s="787"/>
      <c r="T99" s="287">
        <v>11682</v>
      </c>
      <c r="U99" s="784"/>
      <c r="V99" s="790"/>
      <c r="W99" s="287">
        <v>9345.6</v>
      </c>
      <c r="X99" s="784"/>
      <c r="Y99" s="784"/>
      <c r="Z99" s="287"/>
      <c r="AA99" s="287"/>
      <c r="AB99" s="784"/>
      <c r="AC99" s="287"/>
      <c r="AD99" s="287"/>
      <c r="AE99" s="278"/>
      <c r="AF99" s="278"/>
      <c r="AG99" s="290"/>
      <c r="AH99" s="793"/>
      <c r="AI99" s="775"/>
      <c r="AJ99" s="43"/>
    </row>
    <row r="100" spans="1:36" ht="24.95" customHeight="1" x14ac:dyDescent="0.2">
      <c r="A100" s="879"/>
      <c r="B100" s="882"/>
      <c r="C100" s="883"/>
      <c r="D100" s="880"/>
      <c r="E100" s="862"/>
      <c r="F100" s="895"/>
      <c r="G100" s="874"/>
      <c r="H100" s="875"/>
      <c r="I100" s="878"/>
      <c r="J100" s="800"/>
      <c r="K100" s="800"/>
      <c r="L100" s="797"/>
      <c r="M100" s="800"/>
      <c r="N100" s="800"/>
      <c r="O100" s="785"/>
      <c r="P100" s="797"/>
      <c r="Q100" s="797"/>
      <c r="R100" s="785"/>
      <c r="S100" s="788"/>
      <c r="T100" s="287">
        <v>0</v>
      </c>
      <c r="U100" s="785"/>
      <c r="V100" s="791"/>
      <c r="W100" s="287"/>
      <c r="X100" s="785"/>
      <c r="Y100" s="785"/>
      <c r="Z100" s="287"/>
      <c r="AA100" s="287"/>
      <c r="AB100" s="785"/>
      <c r="AC100" s="287"/>
      <c r="AD100" s="287"/>
      <c r="AE100" s="278"/>
      <c r="AF100" s="278"/>
      <c r="AG100" s="290"/>
      <c r="AH100" s="794"/>
      <c r="AI100" s="776"/>
      <c r="AJ100" s="43"/>
    </row>
    <row r="101" spans="1:36" ht="24.95" customHeight="1" x14ac:dyDescent="0.2">
      <c r="A101" s="856">
        <v>13</v>
      </c>
      <c r="B101" s="880" t="s">
        <v>794</v>
      </c>
      <c r="C101" s="860">
        <v>2023.9</v>
      </c>
      <c r="D101" s="923" t="s">
        <v>807</v>
      </c>
      <c r="E101" s="884" t="s">
        <v>747</v>
      </c>
      <c r="F101" s="822" t="s">
        <v>798</v>
      </c>
      <c r="G101" s="270" t="s">
        <v>651</v>
      </c>
      <c r="H101" s="270" t="s">
        <v>808</v>
      </c>
      <c r="I101" s="876">
        <v>110000</v>
      </c>
      <c r="J101" s="798"/>
      <c r="K101" s="798"/>
      <c r="L101" s="795">
        <f>I101</f>
        <v>110000</v>
      </c>
      <c r="M101" s="798"/>
      <c r="N101" s="798"/>
      <c r="O101" s="783">
        <f>L101</f>
        <v>110000</v>
      </c>
      <c r="P101" s="795">
        <f t="shared" ref="P101" si="101">M101</f>
        <v>0</v>
      </c>
      <c r="Q101" s="795">
        <f t="shared" ref="Q101" si="102">N101</f>
        <v>0</v>
      </c>
      <c r="R101" s="783">
        <f>SUM(O101:Q103)</f>
        <v>110000</v>
      </c>
      <c r="S101" s="786">
        <f>R101</f>
        <v>110000</v>
      </c>
      <c r="T101" s="287">
        <v>0</v>
      </c>
      <c r="U101" s="783">
        <f>S101-T101-T102-T103</f>
        <v>110000</v>
      </c>
      <c r="V101" s="789">
        <f>S101*0.8</f>
        <v>88000</v>
      </c>
      <c r="W101" s="287"/>
      <c r="X101" s="783">
        <f>V101-W101-W102-W103</f>
        <v>88000</v>
      </c>
      <c r="Y101" s="783">
        <f t="shared" ref="Y101" si="103">S101*0.17/1.065</f>
        <v>17558.685446009389</v>
      </c>
      <c r="Z101" s="287"/>
      <c r="AA101" s="287"/>
      <c r="AB101" s="783">
        <f t="shared" ref="AB101" si="104">V101*0.2/1.065</f>
        <v>16525.821596244132</v>
      </c>
      <c r="AC101" s="287"/>
      <c r="AD101" s="287"/>
      <c r="AE101" s="278" t="s">
        <v>809</v>
      </c>
      <c r="AF101" s="278" t="s">
        <v>681</v>
      </c>
      <c r="AG101" s="290">
        <f>S101*0.6</f>
        <v>66000</v>
      </c>
      <c r="AH101" s="792">
        <f>V101-Y101-AB101-AG101-AG102-AG103</f>
        <v>-12084.507042253521</v>
      </c>
      <c r="AI101" s="774"/>
      <c r="AJ101" s="43"/>
    </row>
    <row r="102" spans="1:36" ht="24.95" customHeight="1" x14ac:dyDescent="0.2">
      <c r="A102" s="857"/>
      <c r="B102" s="881"/>
      <c r="C102" s="861"/>
      <c r="D102" s="923"/>
      <c r="E102" s="884"/>
      <c r="F102" s="822"/>
      <c r="G102" s="270" t="s">
        <v>817</v>
      </c>
      <c r="H102" s="270" t="s">
        <v>836</v>
      </c>
      <c r="I102" s="877"/>
      <c r="J102" s="799"/>
      <c r="K102" s="799"/>
      <c r="L102" s="796"/>
      <c r="M102" s="799"/>
      <c r="N102" s="799"/>
      <c r="O102" s="784"/>
      <c r="P102" s="796"/>
      <c r="Q102" s="796"/>
      <c r="R102" s="784"/>
      <c r="S102" s="787"/>
      <c r="T102" s="287">
        <v>0</v>
      </c>
      <c r="U102" s="784"/>
      <c r="V102" s="790"/>
      <c r="W102" s="287"/>
      <c r="X102" s="784"/>
      <c r="Y102" s="784"/>
      <c r="Z102" s="287"/>
      <c r="AA102" s="287"/>
      <c r="AB102" s="784"/>
      <c r="AC102" s="287"/>
      <c r="AD102" s="287"/>
      <c r="AE102" s="277"/>
      <c r="AF102" s="277"/>
      <c r="AG102" s="288"/>
      <c r="AH102" s="793"/>
      <c r="AI102" s="775"/>
      <c r="AJ102" s="43"/>
    </row>
    <row r="103" spans="1:36" ht="24.95" customHeight="1" x14ac:dyDescent="0.2">
      <c r="A103" s="879"/>
      <c r="B103" s="882"/>
      <c r="C103" s="883"/>
      <c r="D103" s="924"/>
      <c r="E103" s="862"/>
      <c r="F103" s="895"/>
      <c r="G103" s="270" t="s">
        <v>818</v>
      </c>
      <c r="H103" s="270" t="s">
        <v>585</v>
      </c>
      <c r="I103" s="878"/>
      <c r="J103" s="800"/>
      <c r="K103" s="800"/>
      <c r="L103" s="797"/>
      <c r="M103" s="800"/>
      <c r="N103" s="800"/>
      <c r="O103" s="785"/>
      <c r="P103" s="797"/>
      <c r="Q103" s="797"/>
      <c r="R103" s="785"/>
      <c r="S103" s="788"/>
      <c r="T103" s="287">
        <v>0</v>
      </c>
      <c r="U103" s="785"/>
      <c r="V103" s="791"/>
      <c r="W103" s="287"/>
      <c r="X103" s="785"/>
      <c r="Y103" s="785"/>
      <c r="Z103" s="287"/>
      <c r="AA103" s="287"/>
      <c r="AB103" s="785"/>
      <c r="AC103" s="287"/>
      <c r="AD103" s="287"/>
      <c r="AE103" s="277"/>
      <c r="AF103" s="277"/>
      <c r="AG103" s="288"/>
      <c r="AH103" s="794"/>
      <c r="AI103" s="776"/>
      <c r="AJ103" s="43"/>
    </row>
    <row r="104" spans="1:36" ht="24.95" customHeight="1" x14ac:dyDescent="0.2">
      <c r="A104" s="856">
        <v>14</v>
      </c>
      <c r="B104" s="880" t="s">
        <v>795</v>
      </c>
      <c r="C104" s="860">
        <v>2023.9</v>
      </c>
      <c r="D104" s="821" t="s">
        <v>879</v>
      </c>
      <c r="E104" s="884" t="s">
        <v>747</v>
      </c>
      <c r="F104" s="822" t="s">
        <v>799</v>
      </c>
      <c r="G104" s="270" t="s">
        <v>651</v>
      </c>
      <c r="H104" s="270" t="s">
        <v>832</v>
      </c>
      <c r="I104" s="798"/>
      <c r="J104" s="798"/>
      <c r="K104" s="795">
        <v>120000</v>
      </c>
      <c r="L104" s="798"/>
      <c r="M104" s="798"/>
      <c r="N104" s="795">
        <f>K104</f>
        <v>120000</v>
      </c>
      <c r="O104" s="783"/>
      <c r="P104" s="795">
        <f t="shared" ref="P104" si="105">M104</f>
        <v>0</v>
      </c>
      <c r="Q104" s="795">
        <v>150000</v>
      </c>
      <c r="R104" s="783">
        <f>SUM(O104:Q106)</f>
        <v>150000</v>
      </c>
      <c r="S104" s="786">
        <f>R104</f>
        <v>150000</v>
      </c>
      <c r="T104" s="287">
        <v>120000</v>
      </c>
      <c r="U104" s="783">
        <f>S104-T104-T105-T106</f>
        <v>0</v>
      </c>
      <c r="V104" s="789">
        <f>S104*0.8</f>
        <v>120000</v>
      </c>
      <c r="W104" s="287">
        <v>96000</v>
      </c>
      <c r="X104" s="783">
        <f>V104-W104-W105-W106</f>
        <v>0</v>
      </c>
      <c r="Y104" s="783">
        <f t="shared" ref="Y104" si="106">S104*0.17/1.065</f>
        <v>23943.661971830992</v>
      </c>
      <c r="Z104" s="287"/>
      <c r="AA104" s="287"/>
      <c r="AB104" s="783">
        <f t="shared" ref="AB104" si="107">V104*0.2/1.065</f>
        <v>22535.211267605635</v>
      </c>
      <c r="AC104" s="289"/>
      <c r="AD104" s="289"/>
      <c r="AE104" s="995" t="s">
        <v>1081</v>
      </c>
      <c r="AF104" s="995" t="s">
        <v>1082</v>
      </c>
      <c r="AG104" s="293"/>
      <c r="AH104" s="792">
        <f>V104-Y104-AB104-AG104-AG105-AG106</f>
        <v>73521.126760563377</v>
      </c>
      <c r="AI104" s="774" t="s">
        <v>1085</v>
      </c>
      <c r="AJ104" s="43"/>
    </row>
    <row r="105" spans="1:36" ht="24.95" customHeight="1" x14ac:dyDescent="0.2">
      <c r="A105" s="857"/>
      <c r="B105" s="881"/>
      <c r="C105" s="861"/>
      <c r="D105" s="821"/>
      <c r="E105" s="884"/>
      <c r="F105" s="822"/>
      <c r="G105" s="270" t="s">
        <v>817</v>
      </c>
      <c r="H105" s="270" t="s">
        <v>837</v>
      </c>
      <c r="I105" s="799"/>
      <c r="J105" s="799"/>
      <c r="K105" s="796"/>
      <c r="L105" s="799"/>
      <c r="M105" s="799"/>
      <c r="N105" s="796"/>
      <c r="O105" s="784"/>
      <c r="P105" s="796"/>
      <c r="Q105" s="796"/>
      <c r="R105" s="784"/>
      <c r="S105" s="787"/>
      <c r="T105" s="287">
        <v>30000</v>
      </c>
      <c r="U105" s="784"/>
      <c r="V105" s="790"/>
      <c r="W105" s="287">
        <v>24000</v>
      </c>
      <c r="X105" s="784"/>
      <c r="Y105" s="784"/>
      <c r="Z105" s="287"/>
      <c r="AA105" s="287"/>
      <c r="AB105" s="784"/>
      <c r="AC105" s="287"/>
      <c r="AD105" s="287"/>
      <c r="AE105" s="996"/>
      <c r="AF105" s="996"/>
      <c r="AG105" s="290"/>
      <c r="AH105" s="793"/>
      <c r="AI105" s="775"/>
      <c r="AJ105" s="43"/>
    </row>
    <row r="106" spans="1:36" ht="24.95" customHeight="1" x14ac:dyDescent="0.2">
      <c r="A106" s="879"/>
      <c r="B106" s="882"/>
      <c r="C106" s="883"/>
      <c r="D106" s="880"/>
      <c r="E106" s="862"/>
      <c r="F106" s="895"/>
      <c r="G106" s="270" t="s">
        <v>818</v>
      </c>
      <c r="H106" s="270" t="s">
        <v>886</v>
      </c>
      <c r="I106" s="800"/>
      <c r="J106" s="800"/>
      <c r="K106" s="797"/>
      <c r="L106" s="800"/>
      <c r="M106" s="800"/>
      <c r="N106" s="797"/>
      <c r="O106" s="785"/>
      <c r="P106" s="797"/>
      <c r="Q106" s="797"/>
      <c r="R106" s="785"/>
      <c r="S106" s="788"/>
      <c r="T106" s="287">
        <v>0</v>
      </c>
      <c r="U106" s="785"/>
      <c r="V106" s="791"/>
      <c r="W106" s="287"/>
      <c r="X106" s="785"/>
      <c r="Y106" s="785"/>
      <c r="Z106" s="287"/>
      <c r="AA106" s="287"/>
      <c r="AB106" s="785"/>
      <c r="AC106" s="287"/>
      <c r="AD106" s="287"/>
      <c r="AE106" s="994"/>
      <c r="AF106" s="994"/>
      <c r="AG106" s="290"/>
      <c r="AH106" s="794"/>
      <c r="AI106" s="776"/>
      <c r="AJ106" s="43"/>
    </row>
    <row r="107" spans="1:36" ht="24.95" customHeight="1" x14ac:dyDescent="0.2">
      <c r="A107" s="856">
        <v>15</v>
      </c>
      <c r="B107" s="880" t="s">
        <v>796</v>
      </c>
      <c r="C107" s="860">
        <v>2023.4</v>
      </c>
      <c r="D107" s="821" t="s">
        <v>805</v>
      </c>
      <c r="E107" s="900" t="s">
        <v>800</v>
      </c>
      <c r="F107" s="903" t="s">
        <v>846</v>
      </c>
      <c r="G107" s="270" t="s">
        <v>651</v>
      </c>
      <c r="H107" s="270" t="s">
        <v>838</v>
      </c>
      <c r="I107" s="876">
        <v>359500</v>
      </c>
      <c r="J107" s="798"/>
      <c r="K107" s="798"/>
      <c r="L107" s="795">
        <f>I107</f>
        <v>359500</v>
      </c>
      <c r="M107" s="798"/>
      <c r="N107" s="798"/>
      <c r="O107" s="783">
        <f>L107</f>
        <v>359500</v>
      </c>
      <c r="P107" s="795">
        <f t="shared" ref="P107:Q107" si="108">M107</f>
        <v>0</v>
      </c>
      <c r="Q107" s="795">
        <f t="shared" si="108"/>
        <v>0</v>
      </c>
      <c r="R107" s="783">
        <f>SUM(O107:Q109)</f>
        <v>359500</v>
      </c>
      <c r="S107" s="786">
        <f>R107</f>
        <v>359500</v>
      </c>
      <c r="T107" s="287">
        <v>66276</v>
      </c>
      <c r="U107" s="783">
        <f>S107-T107-T108-T109</f>
        <v>293224</v>
      </c>
      <c r="V107" s="789">
        <f>S107*0.75</f>
        <v>269625</v>
      </c>
      <c r="W107" s="287">
        <f>T107*0.75</f>
        <v>49707</v>
      </c>
      <c r="X107" s="783">
        <f>V107-W107-W108-W109</f>
        <v>219918</v>
      </c>
      <c r="Y107" s="783">
        <f t="shared" ref="Y107" si="109">S107*0.17/1.065</f>
        <v>57384.976525821607</v>
      </c>
      <c r="Z107" s="287"/>
      <c r="AA107" s="287"/>
      <c r="AB107" s="783">
        <f t="shared" ref="AB107" si="110">V107*0.2/1.065</f>
        <v>50633.802816901414</v>
      </c>
      <c r="AC107" s="287"/>
      <c r="AD107" s="287"/>
      <c r="AE107" s="278"/>
      <c r="AF107" s="278"/>
      <c r="AG107" s="290"/>
      <c r="AH107" s="792">
        <f>V107-Y107-AB107-AG107-AG108-AG109</f>
        <v>161606.22065727698</v>
      </c>
      <c r="AI107" s="774"/>
      <c r="AJ107" s="43"/>
    </row>
    <row r="108" spans="1:36" ht="24.95" customHeight="1" x14ac:dyDescent="0.2">
      <c r="A108" s="857"/>
      <c r="B108" s="881"/>
      <c r="C108" s="861"/>
      <c r="D108" s="821"/>
      <c r="E108" s="900"/>
      <c r="F108" s="903"/>
      <c r="G108" s="270" t="s">
        <v>817</v>
      </c>
      <c r="H108" s="270" t="s">
        <v>839</v>
      </c>
      <c r="I108" s="877"/>
      <c r="J108" s="799"/>
      <c r="K108" s="799"/>
      <c r="L108" s="796"/>
      <c r="M108" s="799"/>
      <c r="N108" s="799"/>
      <c r="O108" s="784"/>
      <c r="P108" s="796"/>
      <c r="Q108" s="796"/>
      <c r="R108" s="784"/>
      <c r="S108" s="787"/>
      <c r="T108" s="287">
        <v>0</v>
      </c>
      <c r="U108" s="784"/>
      <c r="V108" s="790"/>
      <c r="W108" s="287"/>
      <c r="X108" s="784"/>
      <c r="Y108" s="784"/>
      <c r="Z108" s="287"/>
      <c r="AA108" s="287"/>
      <c r="AB108" s="784"/>
      <c r="AC108" s="287"/>
      <c r="AD108" s="287"/>
      <c r="AE108" s="278"/>
      <c r="AF108" s="278"/>
      <c r="AG108" s="290"/>
      <c r="AH108" s="793"/>
      <c r="AI108" s="775"/>
      <c r="AJ108" s="43"/>
    </row>
    <row r="109" spans="1:36" ht="24.95" customHeight="1" x14ac:dyDescent="0.2">
      <c r="A109" s="879"/>
      <c r="B109" s="882"/>
      <c r="C109" s="883"/>
      <c r="D109" s="880"/>
      <c r="E109" s="901"/>
      <c r="F109" s="891"/>
      <c r="G109" s="270" t="s">
        <v>818</v>
      </c>
      <c r="H109" s="270" t="s">
        <v>585</v>
      </c>
      <c r="I109" s="878"/>
      <c r="J109" s="800"/>
      <c r="K109" s="800"/>
      <c r="L109" s="797"/>
      <c r="M109" s="800"/>
      <c r="N109" s="800"/>
      <c r="O109" s="785"/>
      <c r="P109" s="797"/>
      <c r="Q109" s="797"/>
      <c r="R109" s="785"/>
      <c r="S109" s="788"/>
      <c r="T109" s="287">
        <v>0</v>
      </c>
      <c r="U109" s="785"/>
      <c r="V109" s="791"/>
      <c r="W109" s="287"/>
      <c r="X109" s="785"/>
      <c r="Y109" s="785"/>
      <c r="Z109" s="287"/>
      <c r="AA109" s="287"/>
      <c r="AB109" s="785"/>
      <c r="AC109" s="287"/>
      <c r="AD109" s="287"/>
      <c r="AE109" s="278"/>
      <c r="AF109" s="278"/>
      <c r="AG109" s="290"/>
      <c r="AH109" s="794"/>
      <c r="AI109" s="776"/>
      <c r="AJ109" s="43"/>
    </row>
    <row r="110" spans="1:36" ht="24.95" customHeight="1" x14ac:dyDescent="0.2">
      <c r="A110" s="856">
        <v>16</v>
      </c>
      <c r="B110" s="880" t="s">
        <v>797</v>
      </c>
      <c r="C110" s="860">
        <v>2023.8</v>
      </c>
      <c r="D110" s="821" t="s">
        <v>806</v>
      </c>
      <c r="E110" s="900" t="s">
        <v>800</v>
      </c>
      <c r="F110" s="903" t="s">
        <v>847</v>
      </c>
      <c r="G110" s="270" t="s">
        <v>651</v>
      </c>
      <c r="H110" s="270" t="s">
        <v>844</v>
      </c>
      <c r="I110" s="876">
        <v>226659</v>
      </c>
      <c r="J110" s="798"/>
      <c r="K110" s="798"/>
      <c r="L110" s="795"/>
      <c r="M110" s="798"/>
      <c r="N110" s="798"/>
      <c r="O110" s="783">
        <f t="shared" ref="O110:Q110" si="111">L110</f>
        <v>0</v>
      </c>
      <c r="P110" s="795">
        <f t="shared" si="111"/>
        <v>0</v>
      </c>
      <c r="Q110" s="795">
        <f t="shared" si="111"/>
        <v>0</v>
      </c>
      <c r="R110" s="783">
        <f>SUM(O110:Q112)</f>
        <v>0</v>
      </c>
      <c r="S110" s="786">
        <f>R110</f>
        <v>0</v>
      </c>
      <c r="T110" s="287">
        <v>0</v>
      </c>
      <c r="U110" s="783">
        <f>S110-T110-T111-T112</f>
        <v>0</v>
      </c>
      <c r="V110" s="789">
        <f>S110*0.75</f>
        <v>0</v>
      </c>
      <c r="W110" s="287"/>
      <c r="X110" s="783">
        <f>V110-W110-W111-W112</f>
        <v>0</v>
      </c>
      <c r="Y110" s="783">
        <f t="shared" ref="Y110" si="112">S110*0.17/1.065</f>
        <v>0</v>
      </c>
      <c r="Z110" s="287"/>
      <c r="AA110" s="287"/>
      <c r="AB110" s="783">
        <f t="shared" ref="AB110" si="113">V110*0.2/1.065</f>
        <v>0</v>
      </c>
      <c r="AC110" s="287"/>
      <c r="AD110" s="287"/>
      <c r="AE110" s="278"/>
      <c r="AF110" s="278"/>
      <c r="AG110" s="290"/>
      <c r="AH110" s="792">
        <f>V110-Y110-AB110-AG110-AG111-AG112</f>
        <v>0</v>
      </c>
      <c r="AI110" s="774"/>
      <c r="AJ110" s="43"/>
    </row>
    <row r="111" spans="1:36" ht="24.95" customHeight="1" x14ac:dyDescent="0.2">
      <c r="A111" s="857"/>
      <c r="B111" s="881"/>
      <c r="C111" s="861"/>
      <c r="D111" s="821"/>
      <c r="E111" s="900"/>
      <c r="F111" s="903"/>
      <c r="G111" s="270" t="s">
        <v>817</v>
      </c>
      <c r="H111" s="270" t="s">
        <v>845</v>
      </c>
      <c r="I111" s="877"/>
      <c r="J111" s="799"/>
      <c r="K111" s="799"/>
      <c r="L111" s="796"/>
      <c r="M111" s="799"/>
      <c r="N111" s="799"/>
      <c r="O111" s="784"/>
      <c r="P111" s="796"/>
      <c r="Q111" s="796"/>
      <c r="R111" s="784"/>
      <c r="S111" s="787"/>
      <c r="T111" s="287">
        <v>0</v>
      </c>
      <c r="U111" s="784"/>
      <c r="V111" s="790"/>
      <c r="W111" s="287"/>
      <c r="X111" s="784"/>
      <c r="Y111" s="784"/>
      <c r="Z111" s="287"/>
      <c r="AA111" s="287"/>
      <c r="AB111" s="784"/>
      <c r="AC111" s="287"/>
      <c r="AD111" s="287"/>
      <c r="AE111" s="278"/>
      <c r="AF111" s="278"/>
      <c r="AG111" s="290"/>
      <c r="AH111" s="793"/>
      <c r="AI111" s="775"/>
      <c r="AJ111" s="43"/>
    </row>
    <row r="112" spans="1:36" ht="24.95" customHeight="1" x14ac:dyDescent="0.2">
      <c r="A112" s="879"/>
      <c r="B112" s="882"/>
      <c r="C112" s="883"/>
      <c r="D112" s="880"/>
      <c r="E112" s="901"/>
      <c r="F112" s="891"/>
      <c r="G112" s="270" t="s">
        <v>818</v>
      </c>
      <c r="H112" s="270" t="s">
        <v>885</v>
      </c>
      <c r="I112" s="878"/>
      <c r="J112" s="800"/>
      <c r="K112" s="800"/>
      <c r="L112" s="797"/>
      <c r="M112" s="800"/>
      <c r="N112" s="800"/>
      <c r="O112" s="785"/>
      <c r="P112" s="797"/>
      <c r="Q112" s="797"/>
      <c r="R112" s="785"/>
      <c r="S112" s="788"/>
      <c r="T112" s="287">
        <v>0</v>
      </c>
      <c r="U112" s="785"/>
      <c r="V112" s="791"/>
      <c r="W112" s="287"/>
      <c r="X112" s="785"/>
      <c r="Y112" s="785"/>
      <c r="Z112" s="287"/>
      <c r="AA112" s="287"/>
      <c r="AB112" s="785"/>
      <c r="AC112" s="287"/>
      <c r="AD112" s="287"/>
      <c r="AE112" s="278"/>
      <c r="AF112" s="278"/>
      <c r="AG112" s="290"/>
      <c r="AH112" s="794"/>
      <c r="AI112" s="776"/>
      <c r="AJ112" s="43"/>
    </row>
    <row r="113" spans="1:36" ht="24.95" customHeight="1" x14ac:dyDescent="0.2">
      <c r="A113" s="809">
        <v>17</v>
      </c>
      <c r="B113" s="810" t="s">
        <v>881</v>
      </c>
      <c r="C113" s="811"/>
      <c r="D113" s="812" t="s">
        <v>883</v>
      </c>
      <c r="E113" s="813" t="s">
        <v>747</v>
      </c>
      <c r="F113" s="913" t="s">
        <v>878</v>
      </c>
      <c r="G113" s="314"/>
      <c r="H113" s="314"/>
      <c r="I113" s="814"/>
      <c r="J113" s="806"/>
      <c r="K113" s="806"/>
      <c r="L113" s="806"/>
      <c r="M113" s="806"/>
      <c r="N113" s="806"/>
      <c r="O113" s="802">
        <f t="shared" ref="O113" si="114">L113</f>
        <v>0</v>
      </c>
      <c r="P113" s="806">
        <f t="shared" ref="P113" si="115">M113</f>
        <v>0</v>
      </c>
      <c r="Q113" s="806">
        <f t="shared" ref="Q113" si="116">N113</f>
        <v>0</v>
      </c>
      <c r="R113" s="802">
        <f>SUM(O113:Q115)</f>
        <v>0</v>
      </c>
      <c r="S113" s="807">
        <f>R113</f>
        <v>0</v>
      </c>
      <c r="T113" s="315">
        <v>0</v>
      </c>
      <c r="U113" s="802">
        <f>S113-T113-T114-T115</f>
        <v>0</v>
      </c>
      <c r="V113" s="808">
        <f>S113*0.8</f>
        <v>0</v>
      </c>
      <c r="W113" s="315"/>
      <c r="X113" s="802">
        <f>V113-W113-W114-W115</f>
        <v>0</v>
      </c>
      <c r="Y113" s="802">
        <f t="shared" ref="Y113" si="117">S113*0.17/1.065</f>
        <v>0</v>
      </c>
      <c r="Z113" s="315"/>
      <c r="AA113" s="315"/>
      <c r="AB113" s="802">
        <f t="shared" ref="AB113" si="118">V113*0.2/1.065</f>
        <v>0</v>
      </c>
      <c r="AC113" s="315"/>
      <c r="AD113" s="315"/>
      <c r="AE113" s="316"/>
      <c r="AF113" s="316"/>
      <c r="AG113" s="317"/>
      <c r="AH113" s="801">
        <f>V113-Y113-AB113-AG113-AG114-AG115</f>
        <v>0</v>
      </c>
      <c r="AI113" s="904" t="s">
        <v>897</v>
      </c>
      <c r="AJ113" s="43"/>
    </row>
    <row r="114" spans="1:36" ht="24.95" customHeight="1" x14ac:dyDescent="0.2">
      <c r="A114" s="809"/>
      <c r="B114" s="810"/>
      <c r="C114" s="811"/>
      <c r="D114" s="812"/>
      <c r="E114" s="813"/>
      <c r="F114" s="913"/>
      <c r="G114" s="314"/>
      <c r="H114" s="314"/>
      <c r="I114" s="814"/>
      <c r="J114" s="806"/>
      <c r="K114" s="806"/>
      <c r="L114" s="806"/>
      <c r="M114" s="806"/>
      <c r="N114" s="806"/>
      <c r="O114" s="802"/>
      <c r="P114" s="806"/>
      <c r="Q114" s="806"/>
      <c r="R114" s="802"/>
      <c r="S114" s="807"/>
      <c r="T114" s="315">
        <v>0</v>
      </c>
      <c r="U114" s="802"/>
      <c r="V114" s="808"/>
      <c r="W114" s="315"/>
      <c r="X114" s="802"/>
      <c r="Y114" s="802"/>
      <c r="Z114" s="315"/>
      <c r="AA114" s="315"/>
      <c r="AB114" s="802"/>
      <c r="AC114" s="315"/>
      <c r="AD114" s="315"/>
      <c r="AE114" s="316"/>
      <c r="AF114" s="316"/>
      <c r="AG114" s="317"/>
      <c r="AH114" s="801"/>
      <c r="AI114" s="904"/>
      <c r="AJ114" s="43"/>
    </row>
    <row r="115" spans="1:36" ht="24.95" customHeight="1" x14ac:dyDescent="0.2">
      <c r="A115" s="809"/>
      <c r="B115" s="810"/>
      <c r="C115" s="811"/>
      <c r="D115" s="812"/>
      <c r="E115" s="813"/>
      <c r="F115" s="913"/>
      <c r="G115" s="314"/>
      <c r="H115" s="314"/>
      <c r="I115" s="814"/>
      <c r="J115" s="806"/>
      <c r="K115" s="806"/>
      <c r="L115" s="806"/>
      <c r="M115" s="806"/>
      <c r="N115" s="806"/>
      <c r="O115" s="802"/>
      <c r="P115" s="806"/>
      <c r="Q115" s="806"/>
      <c r="R115" s="802"/>
      <c r="S115" s="807"/>
      <c r="T115" s="315">
        <v>0</v>
      </c>
      <c r="U115" s="802"/>
      <c r="V115" s="808"/>
      <c r="W115" s="315"/>
      <c r="X115" s="802"/>
      <c r="Y115" s="802"/>
      <c r="Z115" s="315"/>
      <c r="AA115" s="315"/>
      <c r="AB115" s="802"/>
      <c r="AC115" s="315"/>
      <c r="AD115" s="315"/>
      <c r="AE115" s="316"/>
      <c r="AF115" s="316"/>
      <c r="AG115" s="317"/>
      <c r="AH115" s="801"/>
      <c r="AI115" s="904"/>
      <c r="AJ115" s="43"/>
    </row>
    <row r="116" spans="1:36" ht="24.95" customHeight="1" x14ac:dyDescent="0.2">
      <c r="A116" s="857">
        <v>18</v>
      </c>
      <c r="B116" s="881" t="s">
        <v>957</v>
      </c>
      <c r="C116" s="861">
        <v>2023.11</v>
      </c>
      <c r="D116" s="882" t="s">
        <v>882</v>
      </c>
      <c r="E116" s="884" t="s">
        <v>747</v>
      </c>
      <c r="F116" s="822" t="s">
        <v>884</v>
      </c>
      <c r="G116" s="313" t="s">
        <v>651</v>
      </c>
      <c r="H116" s="313"/>
      <c r="I116" s="798"/>
      <c r="J116" s="798"/>
      <c r="K116" s="796">
        <v>235000</v>
      </c>
      <c r="L116" s="798"/>
      <c r="M116" s="798"/>
      <c r="N116" s="796">
        <f>K116</f>
        <v>235000</v>
      </c>
      <c r="O116" s="784">
        <f t="shared" ref="O116:Q116" si="119">L116</f>
        <v>0</v>
      </c>
      <c r="P116" s="796">
        <f t="shared" si="119"/>
        <v>0</v>
      </c>
      <c r="Q116" s="796">
        <f t="shared" si="119"/>
        <v>235000</v>
      </c>
      <c r="R116" s="784">
        <f>SUM(O116:Q118)</f>
        <v>235000</v>
      </c>
      <c r="S116" s="787">
        <f>R116</f>
        <v>235000</v>
      </c>
      <c r="T116" s="289">
        <v>235000</v>
      </c>
      <c r="U116" s="784">
        <f>S116-T116-T117-T118</f>
        <v>0</v>
      </c>
      <c r="V116" s="790">
        <f>S116*0.82</f>
        <v>192700</v>
      </c>
      <c r="W116" s="289">
        <v>192700</v>
      </c>
      <c r="X116" s="784">
        <f>V116-W116-W117-W118</f>
        <v>0</v>
      </c>
      <c r="Y116" s="784">
        <f t="shared" ref="Y116" si="120">S116*0.17/1.065</f>
        <v>37511.737089201881</v>
      </c>
      <c r="Z116" s="289"/>
      <c r="AA116" s="289"/>
      <c r="AB116" s="784">
        <f t="shared" ref="AB116" si="121">V116*0.2/1.065</f>
        <v>36187.793427230048</v>
      </c>
      <c r="AC116" s="289"/>
      <c r="AD116" s="289"/>
      <c r="AE116" s="995" t="s">
        <v>1083</v>
      </c>
      <c r="AF116" s="995" t="s">
        <v>1084</v>
      </c>
      <c r="AG116" s="293"/>
      <c r="AH116" s="793">
        <f>V116-Y116-AB116-AG116-AG117-AG118</f>
        <v>119000.46948356809</v>
      </c>
      <c r="AI116" s="775" t="s">
        <v>1085</v>
      </c>
      <c r="AJ116" s="43"/>
    </row>
    <row r="117" spans="1:36" ht="24.95" customHeight="1" x14ac:dyDescent="0.2">
      <c r="A117" s="857"/>
      <c r="B117" s="881"/>
      <c r="C117" s="861"/>
      <c r="D117" s="821"/>
      <c r="E117" s="884"/>
      <c r="F117" s="822"/>
      <c r="G117" s="270" t="s">
        <v>817</v>
      </c>
      <c r="H117" s="270"/>
      <c r="I117" s="799"/>
      <c r="J117" s="799"/>
      <c r="K117" s="796"/>
      <c r="L117" s="799"/>
      <c r="M117" s="799"/>
      <c r="N117" s="796"/>
      <c r="O117" s="784"/>
      <c r="P117" s="796"/>
      <c r="Q117" s="796"/>
      <c r="R117" s="784"/>
      <c r="S117" s="787"/>
      <c r="T117" s="287">
        <v>0</v>
      </c>
      <c r="U117" s="784"/>
      <c r="V117" s="790"/>
      <c r="W117" s="287"/>
      <c r="X117" s="784"/>
      <c r="Y117" s="784"/>
      <c r="Z117" s="287"/>
      <c r="AA117" s="287"/>
      <c r="AB117" s="784"/>
      <c r="AC117" s="287"/>
      <c r="AD117" s="287"/>
      <c r="AE117" s="996"/>
      <c r="AF117" s="996"/>
      <c r="AG117" s="290"/>
      <c r="AH117" s="793"/>
      <c r="AI117" s="775"/>
      <c r="AJ117" s="43"/>
    </row>
    <row r="118" spans="1:36" ht="24.95" customHeight="1" x14ac:dyDescent="0.2">
      <c r="A118" s="879"/>
      <c r="B118" s="882"/>
      <c r="C118" s="883"/>
      <c r="D118" s="880"/>
      <c r="E118" s="884"/>
      <c r="F118" s="822"/>
      <c r="G118" s="270" t="s">
        <v>818</v>
      </c>
      <c r="H118" s="270" t="s">
        <v>885</v>
      </c>
      <c r="I118" s="800"/>
      <c r="J118" s="800"/>
      <c r="K118" s="797"/>
      <c r="L118" s="800"/>
      <c r="M118" s="800"/>
      <c r="N118" s="797"/>
      <c r="O118" s="785"/>
      <c r="P118" s="797"/>
      <c r="Q118" s="797"/>
      <c r="R118" s="785"/>
      <c r="S118" s="788"/>
      <c r="T118" s="287">
        <v>0</v>
      </c>
      <c r="U118" s="785"/>
      <c r="V118" s="791"/>
      <c r="W118" s="287"/>
      <c r="X118" s="785"/>
      <c r="Y118" s="785"/>
      <c r="Z118" s="287"/>
      <c r="AA118" s="287"/>
      <c r="AB118" s="785"/>
      <c r="AC118" s="287"/>
      <c r="AD118" s="287"/>
      <c r="AE118" s="994"/>
      <c r="AF118" s="994"/>
      <c r="AG118" s="290"/>
      <c r="AH118" s="794"/>
      <c r="AI118" s="776"/>
      <c r="AJ118" s="43"/>
    </row>
    <row r="119" spans="1:36" ht="24.95" customHeight="1" x14ac:dyDescent="0.2">
      <c r="A119" s="856">
        <v>19</v>
      </c>
      <c r="B119" s="880" t="s">
        <v>892</v>
      </c>
      <c r="C119" s="860">
        <v>2023.12</v>
      </c>
      <c r="D119" s="821" t="s">
        <v>895</v>
      </c>
      <c r="E119" s="894" t="s">
        <v>747</v>
      </c>
      <c r="F119" s="897" t="s">
        <v>893</v>
      </c>
      <c r="G119" s="270" t="s">
        <v>651</v>
      </c>
      <c r="H119" s="270" t="s">
        <v>896</v>
      </c>
      <c r="I119" s="798"/>
      <c r="J119" s="798"/>
      <c r="K119" s="795">
        <v>50000</v>
      </c>
      <c r="L119" s="798"/>
      <c r="M119" s="798"/>
      <c r="N119" s="795">
        <f>K119</f>
        <v>50000</v>
      </c>
      <c r="O119" s="783">
        <f t="shared" ref="O119:Q119" si="122">L119</f>
        <v>0</v>
      </c>
      <c r="P119" s="795">
        <f t="shared" si="122"/>
        <v>0</v>
      </c>
      <c r="Q119" s="795">
        <f t="shared" si="122"/>
        <v>50000</v>
      </c>
      <c r="R119" s="783">
        <f>SUM(O119:Q121)</f>
        <v>50000</v>
      </c>
      <c r="S119" s="786">
        <f>R119</f>
        <v>50000</v>
      </c>
      <c r="T119" s="287">
        <v>0</v>
      </c>
      <c r="U119" s="783">
        <f>S119-T119-T120-T121</f>
        <v>50000</v>
      </c>
      <c r="V119" s="789">
        <f>S119*0.8</f>
        <v>40000</v>
      </c>
      <c r="W119" s="287">
        <v>40000</v>
      </c>
      <c r="X119" s="783">
        <f>V119-W119-W120-W121</f>
        <v>0</v>
      </c>
      <c r="Y119" s="783">
        <f t="shared" ref="Y119" si="123">S119*0.17/1.065</f>
        <v>7981.2206572769956</v>
      </c>
      <c r="Z119" s="287"/>
      <c r="AA119" s="287"/>
      <c r="AB119" s="783">
        <f t="shared" ref="AB119" si="124">V119*0.2/1.065</f>
        <v>7511.737089201878</v>
      </c>
      <c r="AC119" s="287"/>
      <c r="AD119" s="287"/>
      <c r="AE119" s="995" t="s">
        <v>1086</v>
      </c>
      <c r="AF119" s="995" t="s">
        <v>1087</v>
      </c>
      <c r="AG119" s="290"/>
      <c r="AH119" s="792">
        <f>V119-Y119-AB119-AG119-AG120-AG121</f>
        <v>24507.042253521129</v>
      </c>
      <c r="AI119" s="774" t="s">
        <v>1088</v>
      </c>
      <c r="AJ119" s="43"/>
    </row>
    <row r="120" spans="1:36" ht="24.95" customHeight="1" x14ac:dyDescent="0.2">
      <c r="A120" s="857"/>
      <c r="B120" s="881"/>
      <c r="C120" s="861"/>
      <c r="D120" s="821"/>
      <c r="E120" s="884"/>
      <c r="F120" s="822"/>
      <c r="G120" s="270" t="s">
        <v>817</v>
      </c>
      <c r="H120" s="270"/>
      <c r="I120" s="799"/>
      <c r="J120" s="799"/>
      <c r="K120" s="796"/>
      <c r="L120" s="799"/>
      <c r="M120" s="799"/>
      <c r="N120" s="796"/>
      <c r="O120" s="784"/>
      <c r="P120" s="796"/>
      <c r="Q120" s="796"/>
      <c r="R120" s="784"/>
      <c r="S120" s="787"/>
      <c r="T120" s="287">
        <v>0</v>
      </c>
      <c r="U120" s="784"/>
      <c r="V120" s="790"/>
      <c r="W120" s="287"/>
      <c r="X120" s="784"/>
      <c r="Y120" s="784"/>
      <c r="Z120" s="287"/>
      <c r="AA120" s="287"/>
      <c r="AB120" s="784"/>
      <c r="AC120" s="287"/>
      <c r="AD120" s="287"/>
      <c r="AE120" s="996"/>
      <c r="AF120" s="996"/>
      <c r="AG120" s="290"/>
      <c r="AH120" s="793"/>
      <c r="AI120" s="775"/>
      <c r="AJ120" s="43"/>
    </row>
    <row r="121" spans="1:36" ht="24.95" customHeight="1" thickBot="1" x14ac:dyDescent="0.25">
      <c r="A121" s="908"/>
      <c r="B121" s="909"/>
      <c r="C121" s="910"/>
      <c r="D121" s="880"/>
      <c r="E121" s="862"/>
      <c r="F121" s="895"/>
      <c r="G121" s="270" t="s">
        <v>818</v>
      </c>
      <c r="H121" s="270" t="s">
        <v>32</v>
      </c>
      <c r="I121" s="800"/>
      <c r="J121" s="800"/>
      <c r="K121" s="902"/>
      <c r="L121" s="800"/>
      <c r="M121" s="800"/>
      <c r="N121" s="902"/>
      <c r="O121" s="906"/>
      <c r="P121" s="902"/>
      <c r="Q121" s="902"/>
      <c r="R121" s="906"/>
      <c r="S121" s="912"/>
      <c r="T121" s="287">
        <v>0</v>
      </c>
      <c r="U121" s="906"/>
      <c r="V121" s="905"/>
      <c r="W121" s="287"/>
      <c r="X121" s="906"/>
      <c r="Y121" s="906"/>
      <c r="Z121" s="287"/>
      <c r="AA121" s="287"/>
      <c r="AB121" s="906"/>
      <c r="AC121" s="287"/>
      <c r="AD121" s="287"/>
      <c r="AE121" s="997"/>
      <c r="AF121" s="997"/>
      <c r="AG121" s="290"/>
      <c r="AH121" s="907"/>
      <c r="AI121" s="911"/>
      <c r="AJ121" s="43"/>
    </row>
    <row r="122" spans="1:36" s="285" customFormat="1" ht="24.95" customHeight="1" thickBot="1" x14ac:dyDescent="0.25">
      <c r="A122" s="803" t="s">
        <v>224</v>
      </c>
      <c r="B122" s="804"/>
      <c r="C122" s="804"/>
      <c r="D122" s="804"/>
      <c r="E122" s="804"/>
      <c r="F122" s="804"/>
      <c r="G122" s="804"/>
      <c r="H122" s="805"/>
      <c r="I122" s="282">
        <f>SUM(I5:I121)</f>
        <v>4522033.1300000008</v>
      </c>
      <c r="J122" s="282">
        <f t="shared" ref="J122:Y122" si="125">SUM(J5:J121)</f>
        <v>423311.48</v>
      </c>
      <c r="K122" s="282">
        <f t="shared" si="125"/>
        <v>405000</v>
      </c>
      <c r="L122" s="282">
        <f t="shared" si="125"/>
        <v>2156913.1</v>
      </c>
      <c r="M122" s="282">
        <f t="shared" si="125"/>
        <v>137206.53</v>
      </c>
      <c r="N122" s="282">
        <f t="shared" si="125"/>
        <v>405000</v>
      </c>
      <c r="O122" s="282">
        <f t="shared" si="125"/>
        <v>2205509.83</v>
      </c>
      <c r="P122" s="282">
        <f t="shared" si="125"/>
        <v>137208</v>
      </c>
      <c r="Q122" s="282">
        <f t="shared" si="125"/>
        <v>435000</v>
      </c>
      <c r="R122" s="282">
        <f t="shared" si="125"/>
        <v>2777717.83</v>
      </c>
      <c r="S122" s="282">
        <f t="shared" si="125"/>
        <v>2777717.83</v>
      </c>
      <c r="T122" s="282">
        <f t="shared" si="125"/>
        <v>1819232.83</v>
      </c>
      <c r="U122" s="282">
        <f t="shared" si="125"/>
        <v>958485</v>
      </c>
      <c r="V122" s="282">
        <f t="shared" si="125"/>
        <v>2239244.764</v>
      </c>
      <c r="W122" s="282">
        <f t="shared" si="125"/>
        <v>1435886.4700000002</v>
      </c>
      <c r="X122" s="282">
        <f t="shared" si="125"/>
        <v>803358.29399999999</v>
      </c>
      <c r="Y122" s="282">
        <f t="shared" si="125"/>
        <v>443391.57849765266</v>
      </c>
      <c r="Z122" s="282"/>
      <c r="AA122" s="282"/>
      <c r="AB122" s="282">
        <f>SUM(AB5:AB7)</f>
        <v>7058.095774647888</v>
      </c>
      <c r="AC122" s="282"/>
      <c r="AD122" s="282"/>
      <c r="AE122" s="283"/>
      <c r="AF122" s="283"/>
      <c r="AG122" s="283">
        <f>SUM(AG5:AG121)</f>
        <v>197531</v>
      </c>
      <c r="AH122" s="282">
        <f>SUM(AH5:AH7)</f>
        <v>23027.037464788729</v>
      </c>
      <c r="AI122" s="284"/>
    </row>
    <row r="123" spans="1:36" ht="24.95" customHeight="1" x14ac:dyDescent="0.2">
      <c r="A123" s="745"/>
      <c r="B123" s="745"/>
      <c r="C123" s="745"/>
      <c r="D123" s="745"/>
      <c r="E123" s="745"/>
      <c r="F123" s="745"/>
      <c r="G123" s="745"/>
      <c r="H123" s="745"/>
      <c r="I123" s="46"/>
      <c r="J123" s="46"/>
      <c r="K123" s="46"/>
      <c r="L123" s="46"/>
      <c r="M123" s="46"/>
      <c r="N123" s="46"/>
      <c r="O123" s="46"/>
      <c r="P123" s="46"/>
      <c r="Q123" s="46"/>
      <c r="R123" s="46"/>
      <c r="S123" s="48"/>
      <c r="T123" s="46"/>
      <c r="U123" s="46"/>
      <c r="V123" s="50"/>
      <c r="W123" s="46"/>
      <c r="X123" s="46"/>
      <c r="Y123" s="46"/>
      <c r="Z123" s="46"/>
      <c r="AA123" s="46"/>
      <c r="AB123" s="46"/>
      <c r="AC123" s="46"/>
      <c r="AD123" s="46"/>
      <c r="AE123" s="51"/>
      <c r="AF123" s="51"/>
      <c r="AG123" s="180"/>
      <c r="AH123" s="52"/>
      <c r="AI123" s="53"/>
    </row>
  </sheetData>
  <autoFilter ref="U1:U123" xr:uid="{00000000-0009-0000-0000-000006000000}"/>
  <mergeCells count="910">
    <mergeCell ref="AE116:AE118"/>
    <mergeCell ref="AF116:AF118"/>
    <mergeCell ref="AE119:AE121"/>
    <mergeCell ref="AF119:AF121"/>
    <mergeCell ref="U47:U49"/>
    <mergeCell ref="V47:V49"/>
    <mergeCell ref="X47:X49"/>
    <mergeCell ref="Y47:Y49"/>
    <mergeCell ref="AB47:AB49"/>
    <mergeCell ref="AH47:AH49"/>
    <mergeCell ref="AI47:AI49"/>
    <mergeCell ref="K47:K49"/>
    <mergeCell ref="L47:L49"/>
    <mergeCell ref="M47:M49"/>
    <mergeCell ref="N47:N49"/>
    <mergeCell ref="O47:O49"/>
    <mergeCell ref="P47:P49"/>
    <mergeCell ref="Q47:Q49"/>
    <mergeCell ref="R47:R49"/>
    <mergeCell ref="S47:S49"/>
    <mergeCell ref="D14:D16"/>
    <mergeCell ref="D32:D34"/>
    <mergeCell ref="E95:E97"/>
    <mergeCell ref="F95:F97"/>
    <mergeCell ref="D41:D43"/>
    <mergeCell ref="D44:D46"/>
    <mergeCell ref="D50:D52"/>
    <mergeCell ref="D59:D61"/>
    <mergeCell ref="D11:D13"/>
    <mergeCell ref="D83:D85"/>
    <mergeCell ref="E83:E85"/>
    <mergeCell ref="F83:F85"/>
    <mergeCell ref="D56:D58"/>
    <mergeCell ref="E56:E58"/>
    <mergeCell ref="D35:D37"/>
    <mergeCell ref="E35:E52"/>
    <mergeCell ref="D47:D49"/>
    <mergeCell ref="D38:D40"/>
    <mergeCell ref="D17:D19"/>
    <mergeCell ref="Q89:Q91"/>
    <mergeCell ref="O92:O94"/>
    <mergeCell ref="P92:P94"/>
    <mergeCell ref="Q92:Q94"/>
    <mergeCell ref="I89:I91"/>
    <mergeCell ref="J89:J91"/>
    <mergeCell ref="K89:K91"/>
    <mergeCell ref="L89:L91"/>
    <mergeCell ref="M89:M91"/>
    <mergeCell ref="N89:N91"/>
    <mergeCell ref="AI92:AI94"/>
    <mergeCell ref="AB89:AB91"/>
    <mergeCell ref="AH89:AH91"/>
    <mergeCell ref="AI89:AI91"/>
    <mergeCell ref="R92:R94"/>
    <mergeCell ref="U92:U94"/>
    <mergeCell ref="V92:V94"/>
    <mergeCell ref="X92:X94"/>
    <mergeCell ref="Y92:Y94"/>
    <mergeCell ref="AI98:AI100"/>
    <mergeCell ref="I95:I97"/>
    <mergeCell ref="J95:J97"/>
    <mergeCell ref="K95:K97"/>
    <mergeCell ref="L95:L97"/>
    <mergeCell ref="M95:M97"/>
    <mergeCell ref="N95:N97"/>
    <mergeCell ref="O95:O97"/>
    <mergeCell ref="P95:P97"/>
    <mergeCell ref="Q95:Q97"/>
    <mergeCell ref="R95:R97"/>
    <mergeCell ref="S95:S97"/>
    <mergeCell ref="U95:U97"/>
    <mergeCell ref="V95:V97"/>
    <mergeCell ref="X95:X97"/>
    <mergeCell ref="AB95:AB97"/>
    <mergeCell ref="AH95:AH97"/>
    <mergeCell ref="AI95:AI97"/>
    <mergeCell ref="R98:R100"/>
    <mergeCell ref="S98:S100"/>
    <mergeCell ref="U98:U100"/>
    <mergeCell ref="V98:V100"/>
    <mergeCell ref="X98:X100"/>
    <mergeCell ref="Y98:Y100"/>
    <mergeCell ref="O101:O103"/>
    <mergeCell ref="P101:P103"/>
    <mergeCell ref="G89:H100"/>
    <mergeCell ref="D92:D94"/>
    <mergeCell ref="E92:E94"/>
    <mergeCell ref="F92:F94"/>
    <mergeCell ref="D89:D91"/>
    <mergeCell ref="E89:E91"/>
    <mergeCell ref="F89:F91"/>
    <mergeCell ref="I92:I94"/>
    <mergeCell ref="J92:J94"/>
    <mergeCell ref="K92:K94"/>
    <mergeCell ref="L92:L94"/>
    <mergeCell ref="M92:M94"/>
    <mergeCell ref="N92:N94"/>
    <mergeCell ref="O89:O91"/>
    <mergeCell ref="P89:P91"/>
    <mergeCell ref="B11:B34"/>
    <mergeCell ref="D26:D28"/>
    <mergeCell ref="I26:I28"/>
    <mergeCell ref="J26:J28"/>
    <mergeCell ref="K26:K28"/>
    <mergeCell ref="L26:L28"/>
    <mergeCell ref="M26:M28"/>
    <mergeCell ref="N26:N28"/>
    <mergeCell ref="D20:D22"/>
    <mergeCell ref="I20:I22"/>
    <mergeCell ref="J20:J22"/>
    <mergeCell ref="K20:K22"/>
    <mergeCell ref="L20:L22"/>
    <mergeCell ref="M20:M22"/>
    <mergeCell ref="N20:N22"/>
    <mergeCell ref="I14:I16"/>
    <mergeCell ref="J14:J16"/>
    <mergeCell ref="K14:K16"/>
    <mergeCell ref="L14:L16"/>
    <mergeCell ref="M14:M16"/>
    <mergeCell ref="N14:N16"/>
    <mergeCell ref="C29:C31"/>
    <mergeCell ref="D29:D31"/>
    <mergeCell ref="G14:H34"/>
    <mergeCell ref="A11:A34"/>
    <mergeCell ref="C14:C16"/>
    <mergeCell ref="C17:C19"/>
    <mergeCell ref="C20:C22"/>
    <mergeCell ref="C23:C25"/>
    <mergeCell ref="C26:C28"/>
    <mergeCell ref="C32:C34"/>
    <mergeCell ref="A101:A103"/>
    <mergeCell ref="B101:B103"/>
    <mergeCell ref="C101:C103"/>
    <mergeCell ref="C56:C58"/>
    <mergeCell ref="C11:C13"/>
    <mergeCell ref="A83:A85"/>
    <mergeCell ref="B83:B85"/>
    <mergeCell ref="C83:C85"/>
    <mergeCell ref="A86:A100"/>
    <mergeCell ref="B86:B100"/>
    <mergeCell ref="C89:C91"/>
    <mergeCell ref="C92:C94"/>
    <mergeCell ref="A35:A52"/>
    <mergeCell ref="B35:B52"/>
    <mergeCell ref="C35:C52"/>
    <mergeCell ref="A56:A58"/>
    <mergeCell ref="B56:B58"/>
    <mergeCell ref="V17:V19"/>
    <mergeCell ref="X17:X19"/>
    <mergeCell ref="Y17:Y19"/>
    <mergeCell ref="AB17:AB19"/>
    <mergeCell ref="AH17:AH19"/>
    <mergeCell ref="AI17:AI19"/>
    <mergeCell ref="P14:P16"/>
    <mergeCell ref="Q14:Q16"/>
    <mergeCell ref="R14:R16"/>
    <mergeCell ref="R17:R19"/>
    <mergeCell ref="S17:S19"/>
    <mergeCell ref="U17:U19"/>
    <mergeCell ref="I17:I19"/>
    <mergeCell ref="J17:J19"/>
    <mergeCell ref="K17:K19"/>
    <mergeCell ref="L17:L19"/>
    <mergeCell ref="M17:M19"/>
    <mergeCell ref="N17:N19"/>
    <mergeCell ref="O17:O19"/>
    <mergeCell ref="P17:P19"/>
    <mergeCell ref="E11:E34"/>
    <mergeCell ref="F11:F34"/>
    <mergeCell ref="I32:I34"/>
    <mergeCell ref="J32:J34"/>
    <mergeCell ref="K32:K34"/>
    <mergeCell ref="L32:L34"/>
    <mergeCell ref="M32:M34"/>
    <mergeCell ref="N32:N34"/>
    <mergeCell ref="O32:O34"/>
    <mergeCell ref="I11:I13"/>
    <mergeCell ref="J11:J13"/>
    <mergeCell ref="K11:K13"/>
    <mergeCell ref="I29:I31"/>
    <mergeCell ref="J29:J31"/>
    <mergeCell ref="K29:K31"/>
    <mergeCell ref="L29:L31"/>
    <mergeCell ref="M29:M31"/>
    <mergeCell ref="N29:N31"/>
    <mergeCell ref="O29:O31"/>
    <mergeCell ref="AI23:AI25"/>
    <mergeCell ref="O20:O22"/>
    <mergeCell ref="P20:P22"/>
    <mergeCell ref="Q20:Q22"/>
    <mergeCell ref="R20:R22"/>
    <mergeCell ref="S14:S16"/>
    <mergeCell ref="U14:U16"/>
    <mergeCell ref="V14:V16"/>
    <mergeCell ref="X14:X16"/>
    <mergeCell ref="Y14:Y16"/>
    <mergeCell ref="AB14:AB16"/>
    <mergeCell ref="S20:S22"/>
    <mergeCell ref="U20:U22"/>
    <mergeCell ref="V20:V22"/>
    <mergeCell ref="X20:X22"/>
    <mergeCell ref="Y20:Y22"/>
    <mergeCell ref="AB20:AB22"/>
    <mergeCell ref="O14:O16"/>
    <mergeCell ref="AH14:AH16"/>
    <mergeCell ref="AI14:AI16"/>
    <mergeCell ref="Q17:Q19"/>
    <mergeCell ref="AB32:AB34"/>
    <mergeCell ref="P29:P31"/>
    <mergeCell ref="Q29:Q31"/>
    <mergeCell ref="AH20:AH22"/>
    <mergeCell ref="AI26:AI28"/>
    <mergeCell ref="AI20:AI22"/>
    <mergeCell ref="D23:D25"/>
    <mergeCell ref="I23:I25"/>
    <mergeCell ref="J23:J25"/>
    <mergeCell ref="K23:K25"/>
    <mergeCell ref="L23:L25"/>
    <mergeCell ref="M23:M25"/>
    <mergeCell ref="N23:N25"/>
    <mergeCell ref="O23:O25"/>
    <mergeCell ref="P23:P25"/>
    <mergeCell ref="Q23:Q25"/>
    <mergeCell ref="R23:R25"/>
    <mergeCell ref="S23:S25"/>
    <mergeCell ref="U23:U25"/>
    <mergeCell ref="V23:V25"/>
    <mergeCell ref="X23:X25"/>
    <mergeCell ref="Y23:Y25"/>
    <mergeCell ref="AB23:AB25"/>
    <mergeCell ref="AH23:AH25"/>
    <mergeCell ref="C107:C109"/>
    <mergeCell ref="F104:F106"/>
    <mergeCell ref="F113:F115"/>
    <mergeCell ref="AH32:AH34"/>
    <mergeCell ref="AI32:AI34"/>
    <mergeCell ref="O26:O28"/>
    <mergeCell ref="P26:P28"/>
    <mergeCell ref="Q26:Q28"/>
    <mergeCell ref="R26:R28"/>
    <mergeCell ref="AH26:AH28"/>
    <mergeCell ref="S26:S28"/>
    <mergeCell ref="U26:U28"/>
    <mergeCell ref="V26:V28"/>
    <mergeCell ref="X26:X28"/>
    <mergeCell ref="Y26:Y28"/>
    <mergeCell ref="AB26:AB28"/>
    <mergeCell ref="P32:P34"/>
    <mergeCell ref="Q32:Q34"/>
    <mergeCell ref="R32:R34"/>
    <mergeCell ref="S32:S34"/>
    <mergeCell ref="U32:U34"/>
    <mergeCell ref="V32:V34"/>
    <mergeCell ref="X32:X34"/>
    <mergeCell ref="Y32:Y34"/>
    <mergeCell ref="D116:D118"/>
    <mergeCell ref="E116:E118"/>
    <mergeCell ref="F116:F118"/>
    <mergeCell ref="E59:E61"/>
    <mergeCell ref="F59:F61"/>
    <mergeCell ref="D65:D67"/>
    <mergeCell ref="E65:E67"/>
    <mergeCell ref="F65:F67"/>
    <mergeCell ref="D107:D109"/>
    <mergeCell ref="E107:E109"/>
    <mergeCell ref="F107:F109"/>
    <mergeCell ref="D86:D88"/>
    <mergeCell ref="E86:E88"/>
    <mergeCell ref="E101:E103"/>
    <mergeCell ref="F101:F103"/>
    <mergeCell ref="F86:F88"/>
    <mergeCell ref="D95:D97"/>
    <mergeCell ref="D98:D100"/>
    <mergeCell ref="E98:E100"/>
    <mergeCell ref="F98:F100"/>
    <mergeCell ref="D101:D103"/>
    <mergeCell ref="AI119:AI121"/>
    <mergeCell ref="O119:O121"/>
    <mergeCell ref="P119:P121"/>
    <mergeCell ref="Q119:Q121"/>
    <mergeCell ref="R119:R121"/>
    <mergeCell ref="S119:S121"/>
    <mergeCell ref="U119:U121"/>
    <mergeCell ref="N119:N121"/>
    <mergeCell ref="F119:F121"/>
    <mergeCell ref="X116:X118"/>
    <mergeCell ref="Y116:Y118"/>
    <mergeCell ref="V119:V121"/>
    <mergeCell ref="X119:X121"/>
    <mergeCell ref="Y119:Y121"/>
    <mergeCell ref="AB119:AB121"/>
    <mergeCell ref="AH119:AH121"/>
    <mergeCell ref="A119:A121"/>
    <mergeCell ref="B119:B121"/>
    <mergeCell ref="C119:C121"/>
    <mergeCell ref="D119:D121"/>
    <mergeCell ref="E119:E121"/>
    <mergeCell ref="P116:P118"/>
    <mergeCell ref="Q116:Q118"/>
    <mergeCell ref="R116:R118"/>
    <mergeCell ref="S116:S118"/>
    <mergeCell ref="J116:J118"/>
    <mergeCell ref="K116:K118"/>
    <mergeCell ref="L116:L118"/>
    <mergeCell ref="M116:M118"/>
    <mergeCell ref="N116:N118"/>
    <mergeCell ref="O116:O118"/>
    <mergeCell ref="I116:I118"/>
    <mergeCell ref="A116:A118"/>
    <mergeCell ref="B116:B118"/>
    <mergeCell ref="C116:C118"/>
    <mergeCell ref="I119:I121"/>
    <mergeCell ref="J119:J121"/>
    <mergeCell ref="K119:K121"/>
    <mergeCell ref="L119:L121"/>
    <mergeCell ref="M119:M121"/>
    <mergeCell ref="AI110:AI112"/>
    <mergeCell ref="O110:O112"/>
    <mergeCell ref="P110:P112"/>
    <mergeCell ref="Q110:Q112"/>
    <mergeCell ref="R110:R112"/>
    <mergeCell ref="S110:S112"/>
    <mergeCell ref="U110:U112"/>
    <mergeCell ref="AB116:AB118"/>
    <mergeCell ref="AH116:AH118"/>
    <mergeCell ref="AI116:AI118"/>
    <mergeCell ref="U116:U118"/>
    <mergeCell ref="V116:V118"/>
    <mergeCell ref="N110:N112"/>
    <mergeCell ref="F110:F112"/>
    <mergeCell ref="AI113:AI115"/>
    <mergeCell ref="L113:L115"/>
    <mergeCell ref="M113:M115"/>
    <mergeCell ref="Y107:Y109"/>
    <mergeCell ref="V110:V112"/>
    <mergeCell ref="X110:X112"/>
    <mergeCell ref="Y110:Y112"/>
    <mergeCell ref="AB110:AB112"/>
    <mergeCell ref="AH110:AH112"/>
    <mergeCell ref="A110:A112"/>
    <mergeCell ref="B110:B112"/>
    <mergeCell ref="C110:C112"/>
    <mergeCell ref="D110:D112"/>
    <mergeCell ref="E110:E112"/>
    <mergeCell ref="P107:P109"/>
    <mergeCell ref="Q107:Q109"/>
    <mergeCell ref="R107:R109"/>
    <mergeCell ref="S107:S109"/>
    <mergeCell ref="J107:J109"/>
    <mergeCell ref="K107:K109"/>
    <mergeCell ref="L107:L109"/>
    <mergeCell ref="M107:M109"/>
    <mergeCell ref="N107:N109"/>
    <mergeCell ref="O107:O109"/>
    <mergeCell ref="I107:I109"/>
    <mergeCell ref="A107:A109"/>
    <mergeCell ref="B107:B109"/>
    <mergeCell ref="I110:I112"/>
    <mergeCell ref="J110:J112"/>
    <mergeCell ref="K110:K112"/>
    <mergeCell ref="L110:L112"/>
    <mergeCell ref="M110:M112"/>
    <mergeCell ref="AI104:AI106"/>
    <mergeCell ref="O104:O106"/>
    <mergeCell ref="P104:P106"/>
    <mergeCell ref="Q104:Q106"/>
    <mergeCell ref="R104:R106"/>
    <mergeCell ref="S104:S106"/>
    <mergeCell ref="U104:U106"/>
    <mergeCell ref="AB107:AB109"/>
    <mergeCell ref="AH107:AH109"/>
    <mergeCell ref="AI107:AI109"/>
    <mergeCell ref="U107:U109"/>
    <mergeCell ref="V107:V109"/>
    <mergeCell ref="N104:N106"/>
    <mergeCell ref="L104:L106"/>
    <mergeCell ref="M104:M106"/>
    <mergeCell ref="X107:X109"/>
    <mergeCell ref="V104:V106"/>
    <mergeCell ref="X104:X106"/>
    <mergeCell ref="Y104:Y106"/>
    <mergeCell ref="AI86:AI88"/>
    <mergeCell ref="A104:A106"/>
    <mergeCell ref="B104:B106"/>
    <mergeCell ref="C104:C106"/>
    <mergeCell ref="D104:D106"/>
    <mergeCell ref="E104:E106"/>
    <mergeCell ref="P86:P88"/>
    <mergeCell ref="Q86:Q88"/>
    <mergeCell ref="R86:R88"/>
    <mergeCell ref="S86:S88"/>
    <mergeCell ref="U86:U88"/>
    <mergeCell ref="V86:V88"/>
    <mergeCell ref="J86:J88"/>
    <mergeCell ref="K86:K88"/>
    <mergeCell ref="L86:L88"/>
    <mergeCell ref="M86:M88"/>
    <mergeCell ref="N86:N88"/>
    <mergeCell ref="C86:C88"/>
    <mergeCell ref="C95:C97"/>
    <mergeCell ref="AI101:AI103"/>
    <mergeCell ref="C98:C100"/>
    <mergeCell ref="I98:I100"/>
    <mergeCell ref="J98:J100"/>
    <mergeCell ref="K98:K100"/>
    <mergeCell ref="O86:O88"/>
    <mergeCell ref="I86:I88"/>
    <mergeCell ref="I104:I106"/>
    <mergeCell ref="J104:J106"/>
    <mergeCell ref="K104:K106"/>
    <mergeCell ref="X86:X88"/>
    <mergeCell ref="Y86:Y88"/>
    <mergeCell ref="AB86:AB88"/>
    <mergeCell ref="AH86:AH88"/>
    <mergeCell ref="AH98:AH100"/>
    <mergeCell ref="AB92:AB94"/>
    <mergeCell ref="Q101:Q103"/>
    <mergeCell ref="R101:R103"/>
    <mergeCell ref="S101:S103"/>
    <mergeCell ref="U101:U103"/>
    <mergeCell ref="V101:V103"/>
    <mergeCell ref="X101:X103"/>
    <mergeCell ref="Y101:Y103"/>
    <mergeCell ref="L98:L100"/>
    <mergeCell ref="M98:M100"/>
    <mergeCell ref="N98:N100"/>
    <mergeCell ref="O98:O100"/>
    <mergeCell ref="P98:P100"/>
    <mergeCell ref="Q98:Q100"/>
    <mergeCell ref="S80:S82"/>
    <mergeCell ref="U80:U82"/>
    <mergeCell ref="J80:J82"/>
    <mergeCell ref="K80:K82"/>
    <mergeCell ref="L80:L82"/>
    <mergeCell ref="I101:I103"/>
    <mergeCell ref="J101:J103"/>
    <mergeCell ref="Y95:Y97"/>
    <mergeCell ref="V89:V91"/>
    <mergeCell ref="X89:X91"/>
    <mergeCell ref="Y89:Y91"/>
    <mergeCell ref="S92:S94"/>
    <mergeCell ref="K101:K103"/>
    <mergeCell ref="L101:L103"/>
    <mergeCell ref="M101:M103"/>
    <mergeCell ref="N101:N103"/>
    <mergeCell ref="L83:L85"/>
    <mergeCell ref="R89:R91"/>
    <mergeCell ref="S89:S91"/>
    <mergeCell ref="U89:U91"/>
    <mergeCell ref="M83:M85"/>
    <mergeCell ref="N83:N85"/>
    <mergeCell ref="O83:O85"/>
    <mergeCell ref="P83:P85"/>
    <mergeCell ref="P77:P79"/>
    <mergeCell ref="Q83:Q85"/>
    <mergeCell ref="I83:I85"/>
    <mergeCell ref="J83:J85"/>
    <mergeCell ref="K83:K85"/>
    <mergeCell ref="R83:R85"/>
    <mergeCell ref="AI83:AI85"/>
    <mergeCell ref="V83:V85"/>
    <mergeCell ref="U77:U79"/>
    <mergeCell ref="V77:V79"/>
    <mergeCell ref="X77:X79"/>
    <mergeCell ref="Q77:Q79"/>
    <mergeCell ref="R77:R79"/>
    <mergeCell ref="S77:S79"/>
    <mergeCell ref="X83:X85"/>
    <mergeCell ref="Y83:Y85"/>
    <mergeCell ref="S83:S85"/>
    <mergeCell ref="U83:U85"/>
    <mergeCell ref="AH80:AH82"/>
    <mergeCell ref="AI80:AI82"/>
    <mergeCell ref="X80:X82"/>
    <mergeCell ref="Y80:Y82"/>
    <mergeCell ref="AB80:AB82"/>
    <mergeCell ref="AB83:AB85"/>
    <mergeCell ref="A77:A82"/>
    <mergeCell ref="B77:B82"/>
    <mergeCell ref="C77:C79"/>
    <mergeCell ref="D77:D79"/>
    <mergeCell ref="E77:E82"/>
    <mergeCell ref="F77:F82"/>
    <mergeCell ref="C80:C82"/>
    <mergeCell ref="D80:D82"/>
    <mergeCell ref="I80:I82"/>
    <mergeCell ref="I77:I79"/>
    <mergeCell ref="G80:H82"/>
    <mergeCell ref="J77:J79"/>
    <mergeCell ref="M80:M82"/>
    <mergeCell ref="N80:N82"/>
    <mergeCell ref="O80:O82"/>
    <mergeCell ref="P80:P82"/>
    <mergeCell ref="AI74:AI76"/>
    <mergeCell ref="R74:R76"/>
    <mergeCell ref="S74:S76"/>
    <mergeCell ref="U74:U76"/>
    <mergeCell ref="L74:L76"/>
    <mergeCell ref="M74:M76"/>
    <mergeCell ref="N74:N76"/>
    <mergeCell ref="O74:O76"/>
    <mergeCell ref="P74:P76"/>
    <mergeCell ref="Q74:Q76"/>
    <mergeCell ref="AH77:AH79"/>
    <mergeCell ref="AI77:AI79"/>
    <mergeCell ref="Q80:Q82"/>
    <mergeCell ref="R80:R82"/>
    <mergeCell ref="K77:K79"/>
    <mergeCell ref="L77:L79"/>
    <mergeCell ref="M77:M79"/>
    <mergeCell ref="N77:N79"/>
    <mergeCell ref="O77:O79"/>
    <mergeCell ref="X71:X73"/>
    <mergeCell ref="AB71:AB73"/>
    <mergeCell ref="AH71:AH73"/>
    <mergeCell ref="AI71:AI73"/>
    <mergeCell ref="C74:C76"/>
    <mergeCell ref="D74:D76"/>
    <mergeCell ref="I74:I76"/>
    <mergeCell ref="J74:J76"/>
    <mergeCell ref="K74:K76"/>
    <mergeCell ref="P71:P73"/>
    <mergeCell ref="Q71:Q73"/>
    <mergeCell ref="R71:R73"/>
    <mergeCell ref="S71:S73"/>
    <mergeCell ref="U71:U73"/>
    <mergeCell ref="V71:V73"/>
    <mergeCell ref="J71:J73"/>
    <mergeCell ref="K71:K73"/>
    <mergeCell ref="L71:L73"/>
    <mergeCell ref="M71:M73"/>
    <mergeCell ref="N71:N73"/>
    <mergeCell ref="O71:O73"/>
    <mergeCell ref="I71:I73"/>
    <mergeCell ref="AB74:AB76"/>
    <mergeCell ref="AH74:AH76"/>
    <mergeCell ref="U68:U70"/>
    <mergeCell ref="G65:H67"/>
    <mergeCell ref="V68:V70"/>
    <mergeCell ref="X68:X70"/>
    <mergeCell ref="K68:K70"/>
    <mergeCell ref="L68:L70"/>
    <mergeCell ref="M68:M70"/>
    <mergeCell ref="N68:N70"/>
    <mergeCell ref="O68:O70"/>
    <mergeCell ref="P68:P70"/>
    <mergeCell ref="I68:I70"/>
    <mergeCell ref="J68:J70"/>
    <mergeCell ref="U59:U61"/>
    <mergeCell ref="V59:V61"/>
    <mergeCell ref="J59:J61"/>
    <mergeCell ref="K59:K61"/>
    <mergeCell ref="U65:U67"/>
    <mergeCell ref="A71:A76"/>
    <mergeCell ref="B71:B76"/>
    <mergeCell ref="C71:C73"/>
    <mergeCell ref="D71:D73"/>
    <mergeCell ref="E71:E76"/>
    <mergeCell ref="F71:F76"/>
    <mergeCell ref="Q68:Q70"/>
    <mergeCell ref="R68:R70"/>
    <mergeCell ref="S68:S70"/>
    <mergeCell ref="A68:A70"/>
    <mergeCell ref="B68:B70"/>
    <mergeCell ref="C68:C70"/>
    <mergeCell ref="D68:D70"/>
    <mergeCell ref="E68:E70"/>
    <mergeCell ref="F68:F70"/>
    <mergeCell ref="C65:C67"/>
    <mergeCell ref="I65:I67"/>
    <mergeCell ref="J65:J67"/>
    <mergeCell ref="K65:K67"/>
    <mergeCell ref="B62:B67"/>
    <mergeCell ref="C62:C64"/>
    <mergeCell ref="D62:D64"/>
    <mergeCell ref="E62:E64"/>
    <mergeCell ref="X59:X61"/>
    <mergeCell ref="Y59:Y61"/>
    <mergeCell ref="V62:V64"/>
    <mergeCell ref="X62:X64"/>
    <mergeCell ref="Y62:Y64"/>
    <mergeCell ref="T62:T64"/>
    <mergeCell ref="W62:W64"/>
    <mergeCell ref="I59:I61"/>
    <mergeCell ref="V65:V67"/>
    <mergeCell ref="X65:X67"/>
    <mergeCell ref="Y65:Y67"/>
    <mergeCell ref="L65:L67"/>
    <mergeCell ref="M65:M67"/>
    <mergeCell ref="N65:N67"/>
    <mergeCell ref="O65:O67"/>
    <mergeCell ref="P65:P67"/>
    <mergeCell ref="Q65:Q67"/>
    <mergeCell ref="R65:R67"/>
    <mergeCell ref="S65:S67"/>
    <mergeCell ref="U62:U64"/>
    <mergeCell ref="P59:P61"/>
    <mergeCell ref="Q59:Q61"/>
    <mergeCell ref="R59:R61"/>
    <mergeCell ref="S59:S61"/>
    <mergeCell ref="A59:A61"/>
    <mergeCell ref="B59:B61"/>
    <mergeCell ref="C59:C61"/>
    <mergeCell ref="I62:I64"/>
    <mergeCell ref="J62:J64"/>
    <mergeCell ref="K62:K64"/>
    <mergeCell ref="L62:L64"/>
    <mergeCell ref="M62:M64"/>
    <mergeCell ref="N62:N64"/>
    <mergeCell ref="F62:F64"/>
    <mergeCell ref="O62:O64"/>
    <mergeCell ref="P62:P64"/>
    <mergeCell ref="Q62:Q64"/>
    <mergeCell ref="R62:R64"/>
    <mergeCell ref="S62:S64"/>
    <mergeCell ref="L59:L61"/>
    <mergeCell ref="M59:M61"/>
    <mergeCell ref="N59:N61"/>
    <mergeCell ref="O59:O61"/>
    <mergeCell ref="A62:A67"/>
    <mergeCell ref="O56:O58"/>
    <mergeCell ref="P56:P58"/>
    <mergeCell ref="Q56:Q58"/>
    <mergeCell ref="R56:R58"/>
    <mergeCell ref="S56:S58"/>
    <mergeCell ref="U56:U58"/>
    <mergeCell ref="V56:V58"/>
    <mergeCell ref="X56:X58"/>
    <mergeCell ref="Y56:Y58"/>
    <mergeCell ref="I56:I58"/>
    <mergeCell ref="J56:J58"/>
    <mergeCell ref="K56:K58"/>
    <mergeCell ref="L56:L58"/>
    <mergeCell ref="M56:M58"/>
    <mergeCell ref="N56:N58"/>
    <mergeCell ref="F56:F58"/>
    <mergeCell ref="Y50:Y52"/>
    <mergeCell ref="L50:L52"/>
    <mergeCell ref="M50:M52"/>
    <mergeCell ref="N50:N52"/>
    <mergeCell ref="O50:O52"/>
    <mergeCell ref="P50:P52"/>
    <mergeCell ref="F35:F52"/>
    <mergeCell ref="L38:L40"/>
    <mergeCell ref="M38:M40"/>
    <mergeCell ref="Q35:Q37"/>
    <mergeCell ref="K35:K37"/>
    <mergeCell ref="L35:L37"/>
    <mergeCell ref="M35:M37"/>
    <mergeCell ref="N35:N37"/>
    <mergeCell ref="O35:O37"/>
    <mergeCell ref="P35:P37"/>
    <mergeCell ref="P53:P55"/>
    <mergeCell ref="U50:U52"/>
    <mergeCell ref="V50:V52"/>
    <mergeCell ref="X50:X52"/>
    <mergeCell ref="AB53:AB55"/>
    <mergeCell ref="AH53:AH55"/>
    <mergeCell ref="AI53:AI55"/>
    <mergeCell ref="U53:U55"/>
    <mergeCell ref="V53:V55"/>
    <mergeCell ref="X53:X55"/>
    <mergeCell ref="Y53:Y55"/>
    <mergeCell ref="AB50:AB52"/>
    <mergeCell ref="AH50:AH52"/>
    <mergeCell ref="AI50:AI52"/>
    <mergeCell ref="A53:A55"/>
    <mergeCell ref="B53:B55"/>
    <mergeCell ref="C53:C55"/>
    <mergeCell ref="D53:D55"/>
    <mergeCell ref="E53:E55"/>
    <mergeCell ref="F53:F55"/>
    <mergeCell ref="Q50:Q52"/>
    <mergeCell ref="R50:R52"/>
    <mergeCell ref="S50:S52"/>
    <mergeCell ref="I50:I52"/>
    <mergeCell ref="K50:K52"/>
    <mergeCell ref="I53:I55"/>
    <mergeCell ref="Q53:Q55"/>
    <mergeCell ref="R53:R55"/>
    <mergeCell ref="S53:S55"/>
    <mergeCell ref="J53:J55"/>
    <mergeCell ref="K53:K55"/>
    <mergeCell ref="L53:L55"/>
    <mergeCell ref="M53:M55"/>
    <mergeCell ref="N53:N55"/>
    <mergeCell ref="O53:O55"/>
    <mergeCell ref="G38:H52"/>
    <mergeCell ref="I47:I49"/>
    <mergeCell ref="J47:J49"/>
    <mergeCell ref="S44:S46"/>
    <mergeCell ref="AI41:AI43"/>
    <mergeCell ref="V41:V43"/>
    <mergeCell ref="X41:X43"/>
    <mergeCell ref="O41:O43"/>
    <mergeCell ref="P41:P43"/>
    <mergeCell ref="Q41:Q43"/>
    <mergeCell ref="AI44:AI46"/>
    <mergeCell ref="V44:V46"/>
    <mergeCell ref="X44:X46"/>
    <mergeCell ref="Y44:Y46"/>
    <mergeCell ref="AB44:AB46"/>
    <mergeCell ref="AH44:AH46"/>
    <mergeCell ref="Y41:Y43"/>
    <mergeCell ref="AB41:AB43"/>
    <mergeCell ref="AH41:AH43"/>
    <mergeCell ref="U41:U43"/>
    <mergeCell ref="R44:R46"/>
    <mergeCell ref="I38:I40"/>
    <mergeCell ref="J38:J40"/>
    <mergeCell ref="K38:K40"/>
    <mergeCell ref="AI35:AI37"/>
    <mergeCell ref="V35:V37"/>
    <mergeCell ref="X35:X37"/>
    <mergeCell ref="AI38:AI40"/>
    <mergeCell ref="Y35:Y37"/>
    <mergeCell ref="AB35:AB37"/>
    <mergeCell ref="AH35:AH37"/>
    <mergeCell ref="V38:V40"/>
    <mergeCell ref="X38:X40"/>
    <mergeCell ref="Y38:Y40"/>
    <mergeCell ref="AH38:AH40"/>
    <mergeCell ref="AB38:AB40"/>
    <mergeCell ref="R38:R40"/>
    <mergeCell ref="S38:S40"/>
    <mergeCell ref="R35:R37"/>
    <mergeCell ref="S35:S37"/>
    <mergeCell ref="I35:I37"/>
    <mergeCell ref="I41:I43"/>
    <mergeCell ref="J41:J43"/>
    <mergeCell ref="K41:K43"/>
    <mergeCell ref="L41:L43"/>
    <mergeCell ref="M41:M43"/>
    <mergeCell ref="N41:N43"/>
    <mergeCell ref="I44:I46"/>
    <mergeCell ref="J44:J46"/>
    <mergeCell ref="K44:K46"/>
    <mergeCell ref="L44:L46"/>
    <mergeCell ref="M44:M46"/>
    <mergeCell ref="N44:N46"/>
    <mergeCell ref="R11:R13"/>
    <mergeCell ref="S11:S13"/>
    <mergeCell ref="U11:U13"/>
    <mergeCell ref="L11:L13"/>
    <mergeCell ref="M11:M13"/>
    <mergeCell ref="N11:N13"/>
    <mergeCell ref="O11:O13"/>
    <mergeCell ref="P11:P13"/>
    <mergeCell ref="Q11:Q13"/>
    <mergeCell ref="AI5:AI7"/>
    <mergeCell ref="O5:O7"/>
    <mergeCell ref="P5:P7"/>
    <mergeCell ref="Q5:Q7"/>
    <mergeCell ref="R5:R7"/>
    <mergeCell ref="AB11:AB13"/>
    <mergeCell ref="AH11:AH13"/>
    <mergeCell ref="AI11:AI13"/>
    <mergeCell ref="V11:V13"/>
    <mergeCell ref="X11:X13"/>
    <mergeCell ref="Y11:Y13"/>
    <mergeCell ref="AH8:AH10"/>
    <mergeCell ref="AI8:AI10"/>
    <mergeCell ref="S8:S10"/>
    <mergeCell ref="U8:U10"/>
    <mergeCell ref="X8:X10"/>
    <mergeCell ref="Y8:Y10"/>
    <mergeCell ref="AB8:AB10"/>
    <mergeCell ref="X5:X7"/>
    <mergeCell ref="Y5:Y7"/>
    <mergeCell ref="O8:O10"/>
    <mergeCell ref="P8:P10"/>
    <mergeCell ref="Q8:Q10"/>
    <mergeCell ref="V5:V7"/>
    <mergeCell ref="U5:U7"/>
    <mergeCell ref="AB5:AB7"/>
    <mergeCell ref="AH5:AH7"/>
    <mergeCell ref="A5:A10"/>
    <mergeCell ref="B5:B10"/>
    <mergeCell ref="C5:C10"/>
    <mergeCell ref="D5:D7"/>
    <mergeCell ref="E5:E10"/>
    <mergeCell ref="M5:M7"/>
    <mergeCell ref="N5:N7"/>
    <mergeCell ref="F5:F7"/>
    <mergeCell ref="M8:M10"/>
    <mergeCell ref="N8:N10"/>
    <mergeCell ref="V8:V10"/>
    <mergeCell ref="T5:T7"/>
    <mergeCell ref="T8:T10"/>
    <mergeCell ref="W5:W7"/>
    <mergeCell ref="W8:W10"/>
    <mergeCell ref="G8:H10"/>
    <mergeCell ref="A1:AI1"/>
    <mergeCell ref="A2:A4"/>
    <mergeCell ref="B2:C2"/>
    <mergeCell ref="G2:H2"/>
    <mergeCell ref="I2:K2"/>
    <mergeCell ref="L2:N2"/>
    <mergeCell ref="O2:U2"/>
    <mergeCell ref="V2:AH2"/>
    <mergeCell ref="AI2:AI4"/>
    <mergeCell ref="O3:R3"/>
    <mergeCell ref="S3:U3"/>
    <mergeCell ref="V3:X3"/>
    <mergeCell ref="Y3:AG3"/>
    <mergeCell ref="AH3:AH4"/>
    <mergeCell ref="M3:M4"/>
    <mergeCell ref="N3:N4"/>
    <mergeCell ref="I3:I4"/>
    <mergeCell ref="J3:J4"/>
    <mergeCell ref="K3:K4"/>
    <mergeCell ref="L3:L4"/>
    <mergeCell ref="I113:I115"/>
    <mergeCell ref="J113:J115"/>
    <mergeCell ref="K113:K115"/>
    <mergeCell ref="AJ2:AJ4"/>
    <mergeCell ref="B3:B4"/>
    <mergeCell ref="C3:C4"/>
    <mergeCell ref="D3:D4"/>
    <mergeCell ref="E3:E4"/>
    <mergeCell ref="F3:F4"/>
    <mergeCell ref="G3:G4"/>
    <mergeCell ref="H3:H4"/>
    <mergeCell ref="D8:D10"/>
    <mergeCell ref="F8:F10"/>
    <mergeCell ref="I8:I10"/>
    <mergeCell ref="J8:J10"/>
    <mergeCell ref="K8:K10"/>
    <mergeCell ref="L8:L10"/>
    <mergeCell ref="I5:I7"/>
    <mergeCell ref="J5:J7"/>
    <mergeCell ref="K5:K7"/>
    <mergeCell ref="L5:L7"/>
    <mergeCell ref="R8:R10"/>
    <mergeCell ref="S5:S7"/>
    <mergeCell ref="AI29:AI31"/>
    <mergeCell ref="A123:H123"/>
    <mergeCell ref="A122:H122"/>
    <mergeCell ref="Y113:Y115"/>
    <mergeCell ref="Y68:Y70"/>
    <mergeCell ref="Y71:Y73"/>
    <mergeCell ref="V74:V76"/>
    <mergeCell ref="X74:X76"/>
    <mergeCell ref="Y74:Y76"/>
    <mergeCell ref="Y77:Y79"/>
    <mergeCell ref="V80:V82"/>
    <mergeCell ref="N113:N115"/>
    <mergeCell ref="O113:O115"/>
    <mergeCell ref="P113:P115"/>
    <mergeCell ref="Q113:Q115"/>
    <mergeCell ref="R113:R115"/>
    <mergeCell ref="S113:S115"/>
    <mergeCell ref="U113:U115"/>
    <mergeCell ref="V113:V115"/>
    <mergeCell ref="X113:X115"/>
    <mergeCell ref="A113:A115"/>
    <mergeCell ref="B113:B115"/>
    <mergeCell ref="C113:C115"/>
    <mergeCell ref="D113:D115"/>
    <mergeCell ref="E113:E115"/>
    <mergeCell ref="AH113:AH115"/>
    <mergeCell ref="AB68:AB70"/>
    <mergeCell ref="AH68:AH70"/>
    <mergeCell ref="AH83:AH85"/>
    <mergeCell ref="AB104:AB106"/>
    <mergeCell ref="AH104:AH106"/>
    <mergeCell ref="AB101:AB103"/>
    <mergeCell ref="AH101:AH103"/>
    <mergeCell ref="AB113:AB115"/>
    <mergeCell ref="AB77:AB79"/>
    <mergeCell ref="AH92:AH94"/>
    <mergeCell ref="AB98:AB100"/>
    <mergeCell ref="AE104:AE106"/>
    <mergeCell ref="AF104:AF106"/>
    <mergeCell ref="AB56:AB58"/>
    <mergeCell ref="AH56:AH58"/>
    <mergeCell ref="AI56:AI58"/>
    <mergeCell ref="AB59:AB61"/>
    <mergeCell ref="AH59:AH61"/>
    <mergeCell ref="AI59:AI61"/>
    <mergeCell ref="AI62:AI64"/>
    <mergeCell ref="AB65:AB67"/>
    <mergeCell ref="AH65:AH67"/>
    <mergeCell ref="AI65:AI67"/>
    <mergeCell ref="AB62:AB64"/>
    <mergeCell ref="AH62:AH64"/>
    <mergeCell ref="AI68:AI70"/>
    <mergeCell ref="G74:H76"/>
    <mergeCell ref="R29:R31"/>
    <mergeCell ref="S29:S31"/>
    <mergeCell ref="U29:U31"/>
    <mergeCell ref="V29:V31"/>
    <mergeCell ref="X29:X31"/>
    <mergeCell ref="Y29:Y31"/>
    <mergeCell ref="AB29:AB31"/>
    <mergeCell ref="AH29:AH31"/>
    <mergeCell ref="J50:J52"/>
    <mergeCell ref="U38:U40"/>
    <mergeCell ref="R41:R43"/>
    <mergeCell ref="S41:S43"/>
    <mergeCell ref="J35:J37"/>
    <mergeCell ref="N38:N40"/>
    <mergeCell ref="O38:O40"/>
    <mergeCell ref="P38:P40"/>
    <mergeCell ref="Q38:Q40"/>
    <mergeCell ref="U35:U37"/>
    <mergeCell ref="U44:U46"/>
    <mergeCell ref="O44:O46"/>
    <mergeCell ref="P44:P46"/>
    <mergeCell ref="Q44:Q46"/>
  </mergeCells>
  <phoneticPr fontId="37" type="noConversion"/>
  <conditionalFormatting sqref="L14:L28">
    <cfRule type="cellIs" dxfId="12" priority="1" operator="between">
      <formula>1000000</formula>
      <formula>2000000</formula>
    </cfRule>
    <cfRule type="cellIs" dxfId="11" priority="2" operator="greaterThan">
      <formula>2000000</formula>
    </cfRule>
  </conditionalFormatting>
  <conditionalFormatting sqref="O5:O28 O32:O121">
    <cfRule type="cellIs" dxfId="10" priority="3" operator="between">
      <formula>1000000</formula>
      <formula>2000000</formula>
    </cfRule>
    <cfRule type="cellIs" dxfId="9" priority="4" operator="greaterThan">
      <formula>2000000</formula>
    </cfRule>
  </conditionalFormatting>
  <conditionalFormatting sqref="U5:U121">
    <cfRule type="cellIs" dxfId="8" priority="5" operator="greaterThan">
      <formula>0</formula>
    </cfRule>
  </conditionalFormatting>
  <printOptions horizontalCentered="1"/>
  <pageMargins left="0.43307086614173201" right="0.39370078740157499" top="0.39370078740157499" bottom="0.39370078740157499" header="0.196850393700787" footer="0.23622047244094499"/>
  <pageSetup paperSize="8" scale="34" orientation="landscape" r:id="rId1"/>
  <headerFooter alignWithMargins="0"/>
  <ignoredErrors>
    <ignoredError sqref="V35"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J192"/>
  <sheetViews>
    <sheetView tabSelected="1" zoomScaleNormal="100" workbookViewId="0">
      <pane xSplit="5" ySplit="4" topLeftCell="U119" activePane="bottomRight" state="frozen"/>
      <selection pane="topRight" activeCell="F1" sqref="F1"/>
      <selection pane="bottomLeft" activeCell="A5" sqref="A5"/>
      <selection pane="bottomRight" activeCell="AI128" sqref="AI128:AI130"/>
    </sheetView>
  </sheetViews>
  <sheetFormatPr defaultColWidth="9.140625" defaultRowHeight="24.95" customHeight="1" x14ac:dyDescent="0.2"/>
  <cols>
    <col min="1" max="1" width="3.7109375" style="1" customWidth="1"/>
    <col min="2" max="2" width="30.7109375" style="3" customWidth="1"/>
    <col min="3" max="3" width="8.28515625" style="4" customWidth="1"/>
    <col min="4" max="4" width="20.7109375" style="3" customWidth="1"/>
    <col min="5" max="5" width="8.28515625" style="3" customWidth="1"/>
    <col min="6" max="6" width="10.7109375" style="3" customWidth="1"/>
    <col min="7" max="7" width="8.28515625" style="3" customWidth="1"/>
    <col min="8" max="8" width="15.7109375" style="3" customWidth="1"/>
    <col min="9" max="18" width="10.7109375" style="5" customWidth="1"/>
    <col min="19" max="19" width="10.7109375" style="6" customWidth="1"/>
    <col min="20" max="21" width="10.7109375" style="5" customWidth="1"/>
    <col min="22" max="22" width="10.7109375" style="7" customWidth="1"/>
    <col min="23" max="30" width="10.7109375" style="5" customWidth="1"/>
    <col min="31" max="32" width="10.7109375" style="8" customWidth="1"/>
    <col min="33" max="33" width="10.7109375" style="181" customWidth="1"/>
    <col min="34" max="34" width="10.7109375" style="9" customWidth="1"/>
    <col min="35" max="35" width="15.7109375" style="3" customWidth="1"/>
    <col min="36" max="36" width="20.7109375" style="1" customWidth="1"/>
    <col min="37" max="37" width="9.140625" style="1"/>
    <col min="38" max="38" width="12.85546875" style="1" customWidth="1"/>
    <col min="39" max="16384" width="9.140625" style="1"/>
  </cols>
  <sheetData>
    <row r="1" spans="1:36" ht="30" customHeight="1" thickBot="1" x14ac:dyDescent="0.25">
      <c r="A1" s="823" t="s">
        <v>1076</v>
      </c>
      <c r="B1" s="823"/>
      <c r="C1" s="823"/>
      <c r="D1" s="823"/>
      <c r="E1" s="823"/>
      <c r="F1" s="823"/>
      <c r="G1" s="823"/>
      <c r="H1" s="823"/>
      <c r="I1" s="823"/>
      <c r="J1" s="823"/>
      <c r="K1" s="823"/>
      <c r="L1" s="823"/>
      <c r="M1" s="823"/>
      <c r="N1" s="823"/>
      <c r="O1" s="823"/>
      <c r="P1" s="823"/>
      <c r="Q1" s="823"/>
      <c r="R1" s="823"/>
      <c r="S1" s="823"/>
      <c r="T1" s="823"/>
      <c r="U1" s="823"/>
      <c r="V1" s="823"/>
      <c r="W1" s="823"/>
      <c r="X1" s="823"/>
      <c r="Y1" s="823"/>
      <c r="Z1" s="823"/>
      <c r="AA1" s="823"/>
      <c r="AB1" s="823"/>
      <c r="AC1" s="823"/>
      <c r="AD1" s="823"/>
      <c r="AE1" s="823"/>
      <c r="AF1" s="823"/>
      <c r="AG1" s="823"/>
      <c r="AH1" s="823"/>
      <c r="AI1" s="823"/>
    </row>
    <row r="2" spans="1:36" ht="24.95" customHeight="1" x14ac:dyDescent="0.2">
      <c r="A2" s="963" t="s">
        <v>1</v>
      </c>
      <c r="B2" s="827" t="s">
        <v>2</v>
      </c>
      <c r="C2" s="828"/>
      <c r="D2" s="310"/>
      <c r="E2" s="271"/>
      <c r="F2" s="336"/>
      <c r="G2" s="829" t="s">
        <v>210</v>
      </c>
      <c r="H2" s="830"/>
      <c r="I2" s="831" t="s">
        <v>835</v>
      </c>
      <c r="J2" s="832"/>
      <c r="K2" s="833"/>
      <c r="L2" s="831" t="s">
        <v>4</v>
      </c>
      <c r="M2" s="832"/>
      <c r="N2" s="833"/>
      <c r="O2" s="834" t="s">
        <v>841</v>
      </c>
      <c r="P2" s="835"/>
      <c r="Q2" s="835"/>
      <c r="R2" s="835"/>
      <c r="S2" s="835"/>
      <c r="T2" s="835"/>
      <c r="U2" s="836"/>
      <c r="V2" s="837" t="s">
        <v>842</v>
      </c>
      <c r="W2" s="838"/>
      <c r="X2" s="838"/>
      <c r="Y2" s="838"/>
      <c r="Z2" s="838"/>
      <c r="AA2" s="838"/>
      <c r="AB2" s="838"/>
      <c r="AC2" s="838"/>
      <c r="AD2" s="838"/>
      <c r="AE2" s="838"/>
      <c r="AF2" s="838"/>
      <c r="AG2" s="838"/>
      <c r="AH2" s="839"/>
      <c r="AI2" s="840" t="s">
        <v>8</v>
      </c>
      <c r="AJ2" s="528"/>
    </row>
    <row r="3" spans="1:36" ht="24.95" customHeight="1" x14ac:dyDescent="0.2">
      <c r="A3" s="964"/>
      <c r="B3" s="815" t="s">
        <v>9</v>
      </c>
      <c r="C3" s="966" t="s">
        <v>213</v>
      </c>
      <c r="D3" s="817" t="s">
        <v>10</v>
      </c>
      <c r="E3" s="818" t="s">
        <v>214</v>
      </c>
      <c r="F3" s="818" t="s">
        <v>11</v>
      </c>
      <c r="G3" s="819" t="s">
        <v>815</v>
      </c>
      <c r="H3" s="819" t="s">
        <v>816</v>
      </c>
      <c r="I3" s="854" t="s">
        <v>17</v>
      </c>
      <c r="J3" s="854" t="s">
        <v>18</v>
      </c>
      <c r="K3" s="854" t="s">
        <v>215</v>
      </c>
      <c r="L3" s="854" t="s">
        <v>17</v>
      </c>
      <c r="M3" s="854" t="s">
        <v>18</v>
      </c>
      <c r="N3" s="854" t="s">
        <v>215</v>
      </c>
      <c r="O3" s="843" t="s">
        <v>216</v>
      </c>
      <c r="P3" s="844"/>
      <c r="Q3" s="844"/>
      <c r="R3" s="845"/>
      <c r="S3" s="846" t="s">
        <v>5</v>
      </c>
      <c r="T3" s="847"/>
      <c r="U3" s="848"/>
      <c r="V3" s="849" t="s">
        <v>217</v>
      </c>
      <c r="W3" s="850"/>
      <c r="X3" s="851"/>
      <c r="Y3" s="849" t="s">
        <v>6</v>
      </c>
      <c r="Z3" s="850"/>
      <c r="AA3" s="850"/>
      <c r="AB3" s="850"/>
      <c r="AC3" s="850"/>
      <c r="AD3" s="850"/>
      <c r="AE3" s="850"/>
      <c r="AF3" s="850"/>
      <c r="AG3" s="851"/>
      <c r="AH3" s="852" t="s">
        <v>7</v>
      </c>
      <c r="AI3" s="841"/>
      <c r="AJ3" s="528"/>
    </row>
    <row r="4" spans="1:36" ht="24.95" customHeight="1" x14ac:dyDescent="0.2">
      <c r="A4" s="965"/>
      <c r="B4" s="816"/>
      <c r="C4" s="967"/>
      <c r="D4" s="815"/>
      <c r="E4" s="819"/>
      <c r="F4" s="819"/>
      <c r="G4" s="820"/>
      <c r="H4" s="820"/>
      <c r="I4" s="855"/>
      <c r="J4" s="855"/>
      <c r="K4" s="855"/>
      <c r="L4" s="855"/>
      <c r="M4" s="855"/>
      <c r="N4" s="855"/>
      <c r="O4" s="272" t="s">
        <v>17</v>
      </c>
      <c r="P4" s="272" t="s">
        <v>18</v>
      </c>
      <c r="Q4" s="272" t="s">
        <v>215</v>
      </c>
      <c r="R4" s="272" t="s">
        <v>218</v>
      </c>
      <c r="S4" s="273" t="s">
        <v>219</v>
      </c>
      <c r="T4" s="272" t="s">
        <v>19</v>
      </c>
      <c r="U4" s="272" t="s">
        <v>20</v>
      </c>
      <c r="V4" s="274" t="s">
        <v>220</v>
      </c>
      <c r="W4" s="275" t="s">
        <v>221</v>
      </c>
      <c r="X4" s="275" t="s">
        <v>20</v>
      </c>
      <c r="Y4" s="275" t="s">
        <v>810</v>
      </c>
      <c r="Z4" s="275" t="s">
        <v>811</v>
      </c>
      <c r="AA4" s="275" t="s">
        <v>812</v>
      </c>
      <c r="AB4" s="275" t="s">
        <v>813</v>
      </c>
      <c r="AC4" s="275" t="s">
        <v>843</v>
      </c>
      <c r="AD4" s="275" t="s">
        <v>814</v>
      </c>
      <c r="AE4" s="276" t="s">
        <v>21</v>
      </c>
      <c r="AF4" s="276" t="s">
        <v>22</v>
      </c>
      <c r="AG4" s="275" t="s">
        <v>23</v>
      </c>
      <c r="AH4" s="853"/>
      <c r="AI4" s="842"/>
      <c r="AJ4" s="528"/>
    </row>
    <row r="5" spans="1:36" ht="24.95" customHeight="1" x14ac:dyDescent="0.2">
      <c r="A5" s="977">
        <v>1</v>
      </c>
      <c r="B5" s="858" t="s">
        <v>888</v>
      </c>
      <c r="C5" s="941">
        <v>2024.1</v>
      </c>
      <c r="D5" s="821" t="s">
        <v>926</v>
      </c>
      <c r="E5" s="862" t="s">
        <v>889</v>
      </c>
      <c r="F5" s="822" t="s">
        <v>927</v>
      </c>
      <c r="G5" s="270" t="s">
        <v>651</v>
      </c>
      <c r="H5" s="270" t="s">
        <v>575</v>
      </c>
      <c r="I5" s="876">
        <v>37515</v>
      </c>
      <c r="J5" s="798"/>
      <c r="K5" s="798"/>
      <c r="L5" s="795">
        <f>I5</f>
        <v>37515</v>
      </c>
      <c r="M5" s="798"/>
      <c r="N5" s="798"/>
      <c r="O5" s="783">
        <f t="shared" ref="O5" si="0">L5</f>
        <v>37515</v>
      </c>
      <c r="P5" s="795">
        <f>M5</f>
        <v>0</v>
      </c>
      <c r="Q5" s="795">
        <f>N5</f>
        <v>0</v>
      </c>
      <c r="R5" s="783">
        <f>SUM(O5:Q7)</f>
        <v>37515</v>
      </c>
      <c r="S5" s="786">
        <f>R5</f>
        <v>37515</v>
      </c>
      <c r="T5" s="287">
        <v>37515</v>
      </c>
      <c r="U5" s="783">
        <f>S5-T5-T6-T7</f>
        <v>0</v>
      </c>
      <c r="V5" s="789">
        <f>S5*0.8</f>
        <v>30012</v>
      </c>
      <c r="W5" s="287"/>
      <c r="X5" s="783">
        <f>V5-W5-W6-W7</f>
        <v>30012</v>
      </c>
      <c r="Y5" s="783">
        <f t="shared" ref="Y5" si="1">S5*0.17/1.065</f>
        <v>5988.3098591549297</v>
      </c>
      <c r="Z5" s="287"/>
      <c r="AA5" s="287"/>
      <c r="AB5" s="783">
        <f t="shared" ref="AB5" si="2">V5*0.2/1.065</f>
        <v>5636.0563380281701</v>
      </c>
      <c r="AC5" s="287"/>
      <c r="AD5" s="287"/>
      <c r="AE5" s="277"/>
      <c r="AF5" s="277"/>
      <c r="AG5" s="288"/>
      <c r="AH5" s="792">
        <f>V5-Y5-AB5-AG5-AG6-AG7</f>
        <v>18387.633802816901</v>
      </c>
      <c r="AI5" s="774"/>
      <c r="AJ5" s="43"/>
    </row>
    <row r="6" spans="1:36" ht="24.95" customHeight="1" x14ac:dyDescent="0.2">
      <c r="A6" s="978"/>
      <c r="B6" s="859"/>
      <c r="C6" s="942"/>
      <c r="D6" s="821"/>
      <c r="E6" s="863"/>
      <c r="F6" s="822"/>
      <c r="G6" s="270" t="s">
        <v>817</v>
      </c>
      <c r="H6" s="270" t="s">
        <v>819</v>
      </c>
      <c r="I6" s="877"/>
      <c r="J6" s="799"/>
      <c r="K6" s="799"/>
      <c r="L6" s="796"/>
      <c r="M6" s="799"/>
      <c r="N6" s="799"/>
      <c r="O6" s="784"/>
      <c r="P6" s="796"/>
      <c r="Q6" s="796"/>
      <c r="R6" s="784"/>
      <c r="S6" s="787"/>
      <c r="T6" s="287">
        <v>0</v>
      </c>
      <c r="U6" s="784"/>
      <c r="V6" s="790"/>
      <c r="W6" s="287"/>
      <c r="X6" s="784"/>
      <c r="Y6" s="784"/>
      <c r="Z6" s="287"/>
      <c r="AA6" s="287"/>
      <c r="AB6" s="784"/>
      <c r="AC6" s="287"/>
      <c r="AD6" s="287"/>
      <c r="AE6" s="277"/>
      <c r="AF6" s="277"/>
      <c r="AG6" s="288"/>
      <c r="AH6" s="793"/>
      <c r="AI6" s="775"/>
      <c r="AJ6" s="43"/>
    </row>
    <row r="7" spans="1:36" ht="24.95" customHeight="1" x14ac:dyDescent="0.2">
      <c r="A7" s="978"/>
      <c r="B7" s="859"/>
      <c r="C7" s="942"/>
      <c r="D7" s="821"/>
      <c r="E7" s="863"/>
      <c r="F7" s="822"/>
      <c r="G7" s="270" t="s">
        <v>818</v>
      </c>
      <c r="H7" s="270" t="s">
        <v>585</v>
      </c>
      <c r="I7" s="878"/>
      <c r="J7" s="800"/>
      <c r="K7" s="800"/>
      <c r="L7" s="797"/>
      <c r="M7" s="800"/>
      <c r="N7" s="800"/>
      <c r="O7" s="785"/>
      <c r="P7" s="797"/>
      <c r="Q7" s="797"/>
      <c r="R7" s="785"/>
      <c r="S7" s="788"/>
      <c r="T7" s="287">
        <v>0</v>
      </c>
      <c r="U7" s="785"/>
      <c r="V7" s="791"/>
      <c r="W7" s="287"/>
      <c r="X7" s="785"/>
      <c r="Y7" s="785"/>
      <c r="Z7" s="287"/>
      <c r="AA7" s="287"/>
      <c r="AB7" s="785"/>
      <c r="AC7" s="287"/>
      <c r="AD7" s="287"/>
      <c r="AE7" s="277"/>
      <c r="AF7" s="277"/>
      <c r="AG7" s="288"/>
      <c r="AH7" s="794"/>
      <c r="AI7" s="776"/>
      <c r="AJ7" s="43"/>
    </row>
    <row r="8" spans="1:36" ht="24.95" customHeight="1" x14ac:dyDescent="0.2">
      <c r="A8" s="978"/>
      <c r="B8" s="859"/>
      <c r="C8" s="942"/>
      <c r="D8" s="821" t="s">
        <v>925</v>
      </c>
      <c r="E8" s="863"/>
      <c r="F8" s="822" t="s">
        <v>928</v>
      </c>
      <c r="G8" s="885"/>
      <c r="H8" s="886"/>
      <c r="I8" s="876">
        <v>201152</v>
      </c>
      <c r="J8" s="798"/>
      <c r="K8" s="798"/>
      <c r="L8" s="795">
        <f t="shared" ref="L8" si="3">I8</f>
        <v>201152</v>
      </c>
      <c r="M8" s="798"/>
      <c r="N8" s="798"/>
      <c r="O8" s="783">
        <v>232990</v>
      </c>
      <c r="P8" s="795">
        <f t="shared" ref="P8" si="4">M8</f>
        <v>0</v>
      </c>
      <c r="Q8" s="795">
        <f t="shared" ref="Q8" si="5">N8</f>
        <v>0</v>
      </c>
      <c r="R8" s="783">
        <f>SUM(O8:Q10)</f>
        <v>232990</v>
      </c>
      <c r="S8" s="786">
        <f>R8</f>
        <v>232990</v>
      </c>
      <c r="T8" s="287">
        <v>232990</v>
      </c>
      <c r="U8" s="783">
        <f>S8-T8-T9-T10</f>
        <v>0</v>
      </c>
      <c r="V8" s="789">
        <f>S8*0.8</f>
        <v>186392</v>
      </c>
      <c r="W8" s="287"/>
      <c r="X8" s="783">
        <f>V8-W8-W9-W10</f>
        <v>186392</v>
      </c>
      <c r="Y8" s="783">
        <f t="shared" ref="Y8" si="6">S8*0.17/1.065</f>
        <v>37190.892018779348</v>
      </c>
      <c r="Z8" s="287"/>
      <c r="AA8" s="287"/>
      <c r="AB8" s="783">
        <f t="shared" ref="AB8" si="7">V8*0.2/1.065</f>
        <v>35003.192488262917</v>
      </c>
      <c r="AC8" s="287"/>
      <c r="AD8" s="287"/>
      <c r="AE8" s="278"/>
      <c r="AF8" s="278"/>
      <c r="AG8" s="290"/>
      <c r="AH8" s="792">
        <f>V8-Y8-AB8-AG8-AG9-AG10</f>
        <v>114197.91549295772</v>
      </c>
      <c r="AI8" s="774"/>
      <c r="AJ8" s="43"/>
    </row>
    <row r="9" spans="1:36" ht="24.95" customHeight="1" x14ac:dyDescent="0.2">
      <c r="A9" s="978"/>
      <c r="B9" s="859"/>
      <c r="C9" s="942"/>
      <c r="D9" s="821"/>
      <c r="E9" s="863"/>
      <c r="F9" s="822"/>
      <c r="G9" s="887"/>
      <c r="H9" s="888"/>
      <c r="I9" s="877"/>
      <c r="J9" s="799"/>
      <c r="K9" s="799"/>
      <c r="L9" s="796"/>
      <c r="M9" s="799"/>
      <c r="N9" s="799"/>
      <c r="O9" s="784"/>
      <c r="P9" s="796"/>
      <c r="Q9" s="796"/>
      <c r="R9" s="784"/>
      <c r="S9" s="787"/>
      <c r="T9" s="287">
        <v>0</v>
      </c>
      <c r="U9" s="784"/>
      <c r="V9" s="790"/>
      <c r="W9" s="287"/>
      <c r="X9" s="784"/>
      <c r="Y9" s="784"/>
      <c r="Z9" s="287"/>
      <c r="AA9" s="287"/>
      <c r="AB9" s="784"/>
      <c r="AC9" s="287"/>
      <c r="AD9" s="287"/>
      <c r="AE9" s="278"/>
      <c r="AF9" s="278"/>
      <c r="AG9" s="290"/>
      <c r="AH9" s="793"/>
      <c r="AI9" s="775"/>
      <c r="AJ9" s="43"/>
    </row>
    <row r="10" spans="1:36" ht="24.95" customHeight="1" x14ac:dyDescent="0.2">
      <c r="A10" s="978"/>
      <c r="B10" s="859"/>
      <c r="C10" s="942"/>
      <c r="D10" s="880"/>
      <c r="E10" s="863"/>
      <c r="F10" s="822"/>
      <c r="G10" s="889"/>
      <c r="H10" s="890"/>
      <c r="I10" s="878"/>
      <c r="J10" s="800"/>
      <c r="K10" s="800"/>
      <c r="L10" s="797"/>
      <c r="M10" s="800"/>
      <c r="N10" s="800"/>
      <c r="O10" s="785"/>
      <c r="P10" s="797"/>
      <c r="Q10" s="797"/>
      <c r="R10" s="785"/>
      <c r="S10" s="788"/>
      <c r="T10" s="287">
        <v>0</v>
      </c>
      <c r="U10" s="785"/>
      <c r="V10" s="791"/>
      <c r="W10" s="287"/>
      <c r="X10" s="785"/>
      <c r="Y10" s="785"/>
      <c r="Z10" s="287"/>
      <c r="AA10" s="287"/>
      <c r="AB10" s="785"/>
      <c r="AC10" s="286"/>
      <c r="AD10" s="286"/>
      <c r="AE10" s="279"/>
      <c r="AF10" s="279"/>
      <c r="AG10" s="291"/>
      <c r="AH10" s="794"/>
      <c r="AI10" s="776"/>
      <c r="AJ10" s="43"/>
    </row>
    <row r="11" spans="1:36" ht="24.95" customHeight="1" x14ac:dyDescent="0.2">
      <c r="A11" s="978"/>
      <c r="B11" s="859"/>
      <c r="C11" s="942"/>
      <c r="D11" s="821" t="s">
        <v>1021</v>
      </c>
      <c r="E11" s="863"/>
      <c r="F11" s="822" t="s">
        <v>928</v>
      </c>
      <c r="G11" s="885"/>
      <c r="H11" s="886"/>
      <c r="I11" s="876">
        <v>4950</v>
      </c>
      <c r="J11" s="798"/>
      <c r="K11" s="798"/>
      <c r="L11" s="795">
        <f t="shared" ref="L11" si="8">I11</f>
        <v>4950</v>
      </c>
      <c r="M11" s="798"/>
      <c r="N11" s="798"/>
      <c r="O11" s="783">
        <f t="shared" ref="O11" si="9">L11</f>
        <v>4950</v>
      </c>
      <c r="P11" s="795">
        <f t="shared" ref="P11" si="10">M11</f>
        <v>0</v>
      </c>
      <c r="Q11" s="795">
        <f t="shared" ref="Q11" si="11">N11</f>
        <v>0</v>
      </c>
      <c r="R11" s="783">
        <f>SUM(O11:Q13)</f>
        <v>4950</v>
      </c>
      <c r="S11" s="786">
        <f>R11</f>
        <v>4950</v>
      </c>
      <c r="T11" s="287">
        <v>0</v>
      </c>
      <c r="U11" s="783">
        <f>S11-T11-T12-T13</f>
        <v>4950</v>
      </c>
      <c r="V11" s="789">
        <f>S11*0.8</f>
        <v>3960</v>
      </c>
      <c r="W11" s="287"/>
      <c r="X11" s="783">
        <f>V11-W11-W12-W13</f>
        <v>3960</v>
      </c>
      <c r="Y11" s="783">
        <f t="shared" ref="Y11" si="12">S11*0.17/1.065</f>
        <v>790.14084507042264</v>
      </c>
      <c r="Z11" s="287"/>
      <c r="AA11" s="287"/>
      <c r="AB11" s="783">
        <f t="shared" ref="AB11" si="13">V11*0.2/1.065</f>
        <v>743.66197183098598</v>
      </c>
      <c r="AC11" s="287"/>
      <c r="AD11" s="287"/>
      <c r="AE11" s="278"/>
      <c r="AF11" s="278"/>
      <c r="AG11" s="290"/>
      <c r="AH11" s="792">
        <f>V11-Y11-AB11-AG11-AG12-AG13</f>
        <v>2426.1971830985913</v>
      </c>
      <c r="AI11" s="774"/>
      <c r="AJ11" s="43"/>
    </row>
    <row r="12" spans="1:36" ht="24.95" customHeight="1" x14ac:dyDescent="0.2">
      <c r="A12" s="978"/>
      <c r="B12" s="859"/>
      <c r="C12" s="942"/>
      <c r="D12" s="821"/>
      <c r="E12" s="863"/>
      <c r="F12" s="822"/>
      <c r="G12" s="887"/>
      <c r="H12" s="888"/>
      <c r="I12" s="877"/>
      <c r="J12" s="799"/>
      <c r="K12" s="799"/>
      <c r="L12" s="796"/>
      <c r="M12" s="799"/>
      <c r="N12" s="799"/>
      <c r="O12" s="784"/>
      <c r="P12" s="796"/>
      <c r="Q12" s="796"/>
      <c r="R12" s="784"/>
      <c r="S12" s="787"/>
      <c r="T12" s="287">
        <v>0</v>
      </c>
      <c r="U12" s="784"/>
      <c r="V12" s="790"/>
      <c r="W12" s="287"/>
      <c r="X12" s="784"/>
      <c r="Y12" s="784"/>
      <c r="Z12" s="287"/>
      <c r="AA12" s="287"/>
      <c r="AB12" s="784"/>
      <c r="AC12" s="287"/>
      <c r="AD12" s="287"/>
      <c r="AE12" s="278"/>
      <c r="AF12" s="278"/>
      <c r="AG12" s="290"/>
      <c r="AH12" s="793"/>
      <c r="AI12" s="775"/>
      <c r="AJ12" s="43"/>
    </row>
    <row r="13" spans="1:36" ht="24.95" customHeight="1" x14ac:dyDescent="0.2">
      <c r="A13" s="978"/>
      <c r="B13" s="859"/>
      <c r="C13" s="942"/>
      <c r="D13" s="880"/>
      <c r="E13" s="863"/>
      <c r="F13" s="822"/>
      <c r="G13" s="889"/>
      <c r="H13" s="890"/>
      <c r="I13" s="878"/>
      <c r="J13" s="800"/>
      <c r="K13" s="800"/>
      <c r="L13" s="797"/>
      <c r="M13" s="800"/>
      <c r="N13" s="800"/>
      <c r="O13" s="785"/>
      <c r="P13" s="797"/>
      <c r="Q13" s="797"/>
      <c r="R13" s="785"/>
      <c r="S13" s="788"/>
      <c r="T13" s="287">
        <v>0</v>
      </c>
      <c r="U13" s="785"/>
      <c r="V13" s="791"/>
      <c r="W13" s="287"/>
      <c r="X13" s="785"/>
      <c r="Y13" s="785"/>
      <c r="Z13" s="287"/>
      <c r="AA13" s="287"/>
      <c r="AB13" s="785"/>
      <c r="AC13" s="286"/>
      <c r="AD13" s="286"/>
      <c r="AE13" s="279"/>
      <c r="AF13" s="279"/>
      <c r="AG13" s="291"/>
      <c r="AH13" s="794"/>
      <c r="AI13" s="776"/>
      <c r="AJ13" s="43"/>
    </row>
    <row r="14" spans="1:36" ht="24.95" customHeight="1" x14ac:dyDescent="0.2">
      <c r="A14" s="978"/>
      <c r="B14" s="859"/>
      <c r="C14" s="942"/>
      <c r="D14" s="821" t="s">
        <v>1022</v>
      </c>
      <c r="E14" s="863"/>
      <c r="F14" s="822" t="s">
        <v>928</v>
      </c>
      <c r="G14" s="885"/>
      <c r="H14" s="886"/>
      <c r="I14" s="876">
        <v>26888</v>
      </c>
      <c r="J14" s="798"/>
      <c r="K14" s="798"/>
      <c r="L14" s="795">
        <f t="shared" ref="L14" si="14">I14</f>
        <v>26888</v>
      </c>
      <c r="M14" s="798"/>
      <c r="N14" s="798"/>
      <c r="O14" s="783">
        <f t="shared" ref="O14" si="15">L14</f>
        <v>26888</v>
      </c>
      <c r="P14" s="795">
        <f t="shared" ref="P14" si="16">M14</f>
        <v>0</v>
      </c>
      <c r="Q14" s="795">
        <f t="shared" ref="Q14" si="17">N14</f>
        <v>0</v>
      </c>
      <c r="R14" s="783">
        <f>SUM(O14:Q16)</f>
        <v>26888</v>
      </c>
      <c r="S14" s="786">
        <f>R14</f>
        <v>26888</v>
      </c>
      <c r="T14" s="287">
        <v>0</v>
      </c>
      <c r="U14" s="783">
        <f>S14-T14-T15-T16</f>
        <v>26888</v>
      </c>
      <c r="V14" s="789">
        <f>S14*0.8</f>
        <v>21510.400000000001</v>
      </c>
      <c r="W14" s="287"/>
      <c r="X14" s="783">
        <f>V14-W14-W15-W16</f>
        <v>21510.400000000001</v>
      </c>
      <c r="Y14" s="783">
        <f t="shared" ref="Y14" si="18">S14*0.17/1.065</f>
        <v>4291.9812206572769</v>
      </c>
      <c r="Z14" s="287"/>
      <c r="AA14" s="287"/>
      <c r="AB14" s="783">
        <f t="shared" ref="AB14" si="19">V14*0.2/1.065</f>
        <v>4039.5117370892031</v>
      </c>
      <c r="AC14" s="287"/>
      <c r="AD14" s="287"/>
      <c r="AE14" s="278"/>
      <c r="AF14" s="278"/>
      <c r="AG14" s="290"/>
      <c r="AH14" s="792">
        <f>V14-Y14-AB14-AG14-AG15-AG16</f>
        <v>13178.907042253522</v>
      </c>
      <c r="AI14" s="774"/>
      <c r="AJ14" s="43"/>
    </row>
    <row r="15" spans="1:36" ht="24.95" customHeight="1" x14ac:dyDescent="0.2">
      <c r="A15" s="978"/>
      <c r="B15" s="859"/>
      <c r="C15" s="942"/>
      <c r="D15" s="821"/>
      <c r="E15" s="863"/>
      <c r="F15" s="822"/>
      <c r="G15" s="887"/>
      <c r="H15" s="888"/>
      <c r="I15" s="877"/>
      <c r="J15" s="799"/>
      <c r="K15" s="799"/>
      <c r="L15" s="796"/>
      <c r="M15" s="799"/>
      <c r="N15" s="799"/>
      <c r="O15" s="784"/>
      <c r="P15" s="796"/>
      <c r="Q15" s="796"/>
      <c r="R15" s="784"/>
      <c r="S15" s="787"/>
      <c r="T15" s="287">
        <v>0</v>
      </c>
      <c r="U15" s="784"/>
      <c r="V15" s="790"/>
      <c r="W15" s="287"/>
      <c r="X15" s="784"/>
      <c r="Y15" s="784"/>
      <c r="Z15" s="287"/>
      <c r="AA15" s="287"/>
      <c r="AB15" s="784"/>
      <c r="AC15" s="287"/>
      <c r="AD15" s="287"/>
      <c r="AE15" s="278"/>
      <c r="AF15" s="278"/>
      <c r="AG15" s="290"/>
      <c r="AH15" s="793"/>
      <c r="AI15" s="775"/>
      <c r="AJ15" s="43"/>
    </row>
    <row r="16" spans="1:36" ht="24.95" customHeight="1" x14ac:dyDescent="0.2">
      <c r="A16" s="979"/>
      <c r="B16" s="983"/>
      <c r="C16" s="943"/>
      <c r="D16" s="880"/>
      <c r="E16" s="894"/>
      <c r="F16" s="822"/>
      <c r="G16" s="889"/>
      <c r="H16" s="890"/>
      <c r="I16" s="878"/>
      <c r="J16" s="800"/>
      <c r="K16" s="800"/>
      <c r="L16" s="797"/>
      <c r="M16" s="800"/>
      <c r="N16" s="800"/>
      <c r="O16" s="785"/>
      <c r="P16" s="797"/>
      <c r="Q16" s="797"/>
      <c r="R16" s="785"/>
      <c r="S16" s="788"/>
      <c r="T16" s="287">
        <v>0</v>
      </c>
      <c r="U16" s="785"/>
      <c r="V16" s="791"/>
      <c r="W16" s="287"/>
      <c r="X16" s="785"/>
      <c r="Y16" s="785"/>
      <c r="Z16" s="287"/>
      <c r="AA16" s="287"/>
      <c r="AB16" s="785"/>
      <c r="AC16" s="286"/>
      <c r="AD16" s="286"/>
      <c r="AE16" s="279"/>
      <c r="AF16" s="279"/>
      <c r="AG16" s="291"/>
      <c r="AH16" s="794"/>
      <c r="AI16" s="776"/>
      <c r="AJ16" s="43"/>
    </row>
    <row r="17" spans="1:36" ht="24.95" customHeight="1" x14ac:dyDescent="0.2">
      <c r="A17" s="884">
        <v>2</v>
      </c>
      <c r="B17" s="981" t="s">
        <v>894</v>
      </c>
      <c r="C17" s="936">
        <v>2024.1</v>
      </c>
      <c r="D17" s="821"/>
      <c r="E17" s="884"/>
      <c r="F17" s="822" t="s">
        <v>902</v>
      </c>
      <c r="G17" s="270" t="s">
        <v>651</v>
      </c>
      <c r="H17" s="270"/>
      <c r="I17" s="798"/>
      <c r="J17" s="798"/>
      <c r="K17" s="795">
        <v>125000</v>
      </c>
      <c r="L17" s="798"/>
      <c r="M17" s="798"/>
      <c r="N17" s="795">
        <v>0</v>
      </c>
      <c r="O17" s="783">
        <f t="shared" ref="O17:Q17" si="20">L17</f>
        <v>0</v>
      </c>
      <c r="P17" s="795">
        <f t="shared" si="20"/>
        <v>0</v>
      </c>
      <c r="Q17" s="795">
        <f t="shared" si="20"/>
        <v>0</v>
      </c>
      <c r="R17" s="783">
        <f>SUM(O17:Q19)</f>
        <v>0</v>
      </c>
      <c r="S17" s="786">
        <f>R17</f>
        <v>0</v>
      </c>
      <c r="T17" s="287">
        <v>0</v>
      </c>
      <c r="U17" s="783">
        <f>S17-T17-T18-T19</f>
        <v>0</v>
      </c>
      <c r="V17" s="789">
        <f>S17*0.8</f>
        <v>0</v>
      </c>
      <c r="W17" s="287"/>
      <c r="X17" s="783">
        <f>V17-W17-W18-W19</f>
        <v>0</v>
      </c>
      <c r="Y17" s="783">
        <f t="shared" ref="Y17" si="21">S17*0.17/1.065</f>
        <v>0</v>
      </c>
      <c r="Z17" s="287"/>
      <c r="AA17" s="287"/>
      <c r="AB17" s="783">
        <f t="shared" ref="AB17" si="22">V17*0.2/1.065</f>
        <v>0</v>
      </c>
      <c r="AC17" s="287"/>
      <c r="AD17" s="287"/>
      <c r="AE17" s="277"/>
      <c r="AF17" s="277"/>
      <c r="AG17" s="288"/>
      <c r="AH17" s="792">
        <f>V17-Y17-AB17-AG17-AG18-AG19</f>
        <v>0</v>
      </c>
      <c r="AI17" s="774"/>
      <c r="AJ17" s="43"/>
    </row>
    <row r="18" spans="1:36" ht="24.95" customHeight="1" x14ac:dyDescent="0.2">
      <c r="A18" s="884"/>
      <c r="B18" s="981"/>
      <c r="C18" s="936"/>
      <c r="D18" s="821"/>
      <c r="E18" s="884"/>
      <c r="F18" s="822"/>
      <c r="G18" s="270" t="s">
        <v>817</v>
      </c>
      <c r="H18" s="270"/>
      <c r="I18" s="799"/>
      <c r="J18" s="799"/>
      <c r="K18" s="796"/>
      <c r="L18" s="799"/>
      <c r="M18" s="799"/>
      <c r="N18" s="796"/>
      <c r="O18" s="784"/>
      <c r="P18" s="796"/>
      <c r="Q18" s="796"/>
      <c r="R18" s="784"/>
      <c r="S18" s="787"/>
      <c r="T18" s="287">
        <v>0</v>
      </c>
      <c r="U18" s="784"/>
      <c r="V18" s="790"/>
      <c r="W18" s="287"/>
      <c r="X18" s="784"/>
      <c r="Y18" s="784"/>
      <c r="Z18" s="287"/>
      <c r="AA18" s="287"/>
      <c r="AB18" s="784"/>
      <c r="AC18" s="287"/>
      <c r="AD18" s="287"/>
      <c r="AE18" s="277"/>
      <c r="AF18" s="277"/>
      <c r="AG18" s="288"/>
      <c r="AH18" s="793"/>
      <c r="AI18" s="775"/>
      <c r="AJ18" s="43"/>
    </row>
    <row r="19" spans="1:36" ht="24.95" customHeight="1" x14ac:dyDescent="0.2">
      <c r="A19" s="884"/>
      <c r="B19" s="981"/>
      <c r="C19" s="936"/>
      <c r="D19" s="821"/>
      <c r="E19" s="884"/>
      <c r="F19" s="822"/>
      <c r="G19" s="270" t="s">
        <v>818</v>
      </c>
      <c r="H19" s="270" t="s">
        <v>585</v>
      </c>
      <c r="I19" s="800"/>
      <c r="J19" s="800"/>
      <c r="K19" s="797"/>
      <c r="L19" s="800"/>
      <c r="M19" s="800"/>
      <c r="N19" s="797"/>
      <c r="O19" s="785"/>
      <c r="P19" s="797"/>
      <c r="Q19" s="797"/>
      <c r="R19" s="785"/>
      <c r="S19" s="788"/>
      <c r="T19" s="287">
        <v>0</v>
      </c>
      <c r="U19" s="785"/>
      <c r="V19" s="791"/>
      <c r="W19" s="287"/>
      <c r="X19" s="785"/>
      <c r="Y19" s="785"/>
      <c r="Z19" s="287"/>
      <c r="AA19" s="287"/>
      <c r="AB19" s="785"/>
      <c r="AC19" s="287"/>
      <c r="AD19" s="287"/>
      <c r="AE19" s="277"/>
      <c r="AF19" s="277"/>
      <c r="AG19" s="288"/>
      <c r="AH19" s="794"/>
      <c r="AI19" s="776"/>
      <c r="AJ19" s="43"/>
    </row>
    <row r="20" spans="1:36" ht="24.95" customHeight="1" x14ac:dyDescent="0.2">
      <c r="A20" s="884">
        <v>3</v>
      </c>
      <c r="B20" s="980" t="s">
        <v>900</v>
      </c>
      <c r="C20" s="936">
        <v>2024.4</v>
      </c>
      <c r="D20" s="821"/>
      <c r="E20" s="884" t="s">
        <v>747</v>
      </c>
      <c r="F20" s="822" t="s">
        <v>903</v>
      </c>
      <c r="G20" s="270" t="s">
        <v>651</v>
      </c>
      <c r="H20" s="270"/>
      <c r="I20" s="876">
        <v>1302875</v>
      </c>
      <c r="J20" s="798"/>
      <c r="K20" s="798"/>
      <c r="L20" s="795">
        <f>I20</f>
        <v>1302875</v>
      </c>
      <c r="M20" s="798"/>
      <c r="N20" s="798"/>
      <c r="O20" s="783">
        <f t="shared" ref="O20:Q20" si="23">L20</f>
        <v>1302875</v>
      </c>
      <c r="P20" s="795">
        <f t="shared" si="23"/>
        <v>0</v>
      </c>
      <c r="Q20" s="795">
        <f t="shared" si="23"/>
        <v>0</v>
      </c>
      <c r="R20" s="783">
        <f>SUM(O20:Q22)</f>
        <v>1302875</v>
      </c>
      <c r="S20" s="786">
        <f>R20</f>
        <v>1302875</v>
      </c>
      <c r="T20" s="287">
        <v>260579</v>
      </c>
      <c r="U20" s="783">
        <f>S20-T20-T21-T22</f>
        <v>1042296</v>
      </c>
      <c r="V20" s="789">
        <f>S20*0.85</f>
        <v>1107443.75</v>
      </c>
      <c r="W20" s="287">
        <v>221492.15</v>
      </c>
      <c r="X20" s="783">
        <f>V20-W20-W21-W22</f>
        <v>885951.6</v>
      </c>
      <c r="Y20" s="783">
        <f t="shared" ref="Y20" si="24">S20*0.17/1.065</f>
        <v>207970.65727699533</v>
      </c>
      <c r="Z20" s="287"/>
      <c r="AA20" s="287"/>
      <c r="AB20" s="783">
        <f t="shared" ref="AB20" si="25">V20*0.2/1.065</f>
        <v>207970.65727699531</v>
      </c>
      <c r="AC20" s="287"/>
      <c r="AD20" s="287"/>
      <c r="AE20" s="277"/>
      <c r="AF20" s="277"/>
      <c r="AG20" s="288"/>
      <c r="AH20" s="792">
        <f>V20-Y20-AB20-AG20-AG21-AG22</f>
        <v>691502.43544600927</v>
      </c>
      <c r="AI20" s="774"/>
      <c r="AJ20" s="43"/>
    </row>
    <row r="21" spans="1:36" ht="24.95" customHeight="1" x14ac:dyDescent="0.2">
      <c r="A21" s="884"/>
      <c r="B21" s="980"/>
      <c r="C21" s="936"/>
      <c r="D21" s="821"/>
      <c r="E21" s="884"/>
      <c r="F21" s="822"/>
      <c r="G21" s="270" t="s">
        <v>817</v>
      </c>
      <c r="H21" s="270" t="s">
        <v>909</v>
      </c>
      <c r="I21" s="877"/>
      <c r="J21" s="799"/>
      <c r="K21" s="799"/>
      <c r="L21" s="796"/>
      <c r="M21" s="799"/>
      <c r="N21" s="799"/>
      <c r="O21" s="784"/>
      <c r="P21" s="796"/>
      <c r="Q21" s="796"/>
      <c r="R21" s="784"/>
      <c r="S21" s="787"/>
      <c r="T21" s="287">
        <v>0</v>
      </c>
      <c r="U21" s="784"/>
      <c r="V21" s="790"/>
      <c r="W21" s="287"/>
      <c r="X21" s="784"/>
      <c r="Y21" s="784"/>
      <c r="Z21" s="287"/>
      <c r="AA21" s="287"/>
      <c r="AB21" s="784"/>
      <c r="AC21" s="287"/>
      <c r="AD21" s="287"/>
      <c r="AE21" s="277"/>
      <c r="AF21" s="277"/>
      <c r="AG21" s="288"/>
      <c r="AH21" s="793"/>
      <c r="AI21" s="775"/>
      <c r="AJ21" s="43"/>
    </row>
    <row r="22" spans="1:36" ht="24.95" customHeight="1" x14ac:dyDescent="0.2">
      <c r="A22" s="884"/>
      <c r="B22" s="980"/>
      <c r="C22" s="936"/>
      <c r="D22" s="821"/>
      <c r="E22" s="884"/>
      <c r="F22" s="822"/>
      <c r="G22" s="270" t="s">
        <v>818</v>
      </c>
      <c r="H22" s="270" t="s">
        <v>585</v>
      </c>
      <c r="I22" s="878"/>
      <c r="J22" s="800"/>
      <c r="K22" s="800"/>
      <c r="L22" s="797"/>
      <c r="M22" s="800"/>
      <c r="N22" s="800"/>
      <c r="O22" s="785"/>
      <c r="P22" s="797"/>
      <c r="Q22" s="797"/>
      <c r="R22" s="785"/>
      <c r="S22" s="788"/>
      <c r="T22" s="287">
        <v>0</v>
      </c>
      <c r="U22" s="785"/>
      <c r="V22" s="791"/>
      <c r="W22" s="287"/>
      <c r="X22" s="785"/>
      <c r="Y22" s="785"/>
      <c r="Z22" s="287"/>
      <c r="AA22" s="287"/>
      <c r="AB22" s="785"/>
      <c r="AC22" s="287"/>
      <c r="AD22" s="287"/>
      <c r="AE22" s="277"/>
      <c r="AF22" s="277"/>
      <c r="AG22" s="288"/>
      <c r="AH22" s="794"/>
      <c r="AI22" s="776"/>
      <c r="AJ22" s="43"/>
    </row>
    <row r="23" spans="1:36" ht="24.95" customHeight="1" x14ac:dyDescent="0.2">
      <c r="A23" s="977">
        <v>4</v>
      </c>
      <c r="B23" s="974" t="s">
        <v>899</v>
      </c>
      <c r="C23" s="941">
        <v>2024.4</v>
      </c>
      <c r="D23" s="821" t="s">
        <v>921</v>
      </c>
      <c r="E23" s="862" t="s">
        <v>747</v>
      </c>
      <c r="F23" s="895" t="s">
        <v>922</v>
      </c>
      <c r="G23" s="270" t="s">
        <v>651</v>
      </c>
      <c r="H23" s="270"/>
      <c r="I23" s="876"/>
      <c r="J23" s="795"/>
      <c r="K23" s="795"/>
      <c r="L23" s="795"/>
      <c r="M23" s="795"/>
      <c r="N23" s="795"/>
      <c r="O23" s="783">
        <v>32759</v>
      </c>
      <c r="P23" s="795">
        <f t="shared" ref="P23" si="26">M23</f>
        <v>0</v>
      </c>
      <c r="Q23" s="795">
        <f t="shared" ref="Q23" si="27">N23</f>
        <v>0</v>
      </c>
      <c r="R23" s="783">
        <f>SUM(O23:Q25)</f>
        <v>32759</v>
      </c>
      <c r="S23" s="786">
        <f>R23</f>
        <v>32759</v>
      </c>
      <c r="T23" s="287">
        <v>32759</v>
      </c>
      <c r="U23" s="783">
        <f>S23-T23-T24-T25</f>
        <v>0</v>
      </c>
      <c r="V23" s="789">
        <f>S23*0.8</f>
        <v>26207.200000000001</v>
      </c>
      <c r="W23" s="287"/>
      <c r="X23" s="783">
        <f>V23-W23-W24-W25</f>
        <v>26207.200000000001</v>
      </c>
      <c r="Y23" s="783">
        <f t="shared" ref="Y23" si="28">S23*0.17/1.065</f>
        <v>5229.1361502347427</v>
      </c>
      <c r="Z23" s="287"/>
      <c r="AA23" s="287"/>
      <c r="AB23" s="783">
        <f t="shared" ref="AB23" si="29">V23*0.2/1.065</f>
        <v>4921.5399061032867</v>
      </c>
      <c r="AC23" s="287"/>
      <c r="AD23" s="287"/>
      <c r="AE23" s="278"/>
      <c r="AF23" s="278"/>
      <c r="AG23" s="290"/>
      <c r="AH23" s="792">
        <f>V23-Y23-AB23-AG23-AG24-AG25</f>
        <v>16056.52394366197</v>
      </c>
      <c r="AI23" s="774"/>
      <c r="AJ23" s="43"/>
    </row>
    <row r="24" spans="1:36" ht="24.95" customHeight="1" x14ac:dyDescent="0.2">
      <c r="A24" s="978"/>
      <c r="B24" s="975"/>
      <c r="C24" s="942"/>
      <c r="D24" s="821"/>
      <c r="E24" s="863"/>
      <c r="F24" s="896"/>
      <c r="G24" s="270" t="s">
        <v>817</v>
      </c>
      <c r="H24" s="270"/>
      <c r="I24" s="877"/>
      <c r="J24" s="796"/>
      <c r="K24" s="796"/>
      <c r="L24" s="796"/>
      <c r="M24" s="796"/>
      <c r="N24" s="796"/>
      <c r="O24" s="784"/>
      <c r="P24" s="796"/>
      <c r="Q24" s="796"/>
      <c r="R24" s="784"/>
      <c r="S24" s="787"/>
      <c r="T24" s="287">
        <v>0</v>
      </c>
      <c r="U24" s="784"/>
      <c r="V24" s="790"/>
      <c r="W24" s="287"/>
      <c r="X24" s="784"/>
      <c r="Y24" s="784"/>
      <c r="Z24" s="287"/>
      <c r="AA24" s="287"/>
      <c r="AB24" s="784"/>
      <c r="AC24" s="287"/>
      <c r="AD24" s="287"/>
      <c r="AE24" s="278"/>
      <c r="AF24" s="278"/>
      <c r="AG24" s="290"/>
      <c r="AH24" s="793"/>
      <c r="AI24" s="775"/>
      <c r="AJ24" s="43"/>
    </row>
    <row r="25" spans="1:36" ht="24.95" customHeight="1" x14ac:dyDescent="0.2">
      <c r="A25" s="978"/>
      <c r="B25" s="975"/>
      <c r="C25" s="942"/>
      <c r="D25" s="880"/>
      <c r="E25" s="863"/>
      <c r="F25" s="896"/>
      <c r="G25" s="270" t="s">
        <v>818</v>
      </c>
      <c r="H25" s="270" t="s">
        <v>639</v>
      </c>
      <c r="I25" s="878"/>
      <c r="J25" s="797"/>
      <c r="K25" s="797"/>
      <c r="L25" s="797"/>
      <c r="M25" s="797"/>
      <c r="N25" s="797"/>
      <c r="O25" s="785"/>
      <c r="P25" s="797"/>
      <c r="Q25" s="797"/>
      <c r="R25" s="785"/>
      <c r="S25" s="788"/>
      <c r="T25" s="287">
        <v>0</v>
      </c>
      <c r="U25" s="785"/>
      <c r="V25" s="791"/>
      <c r="W25" s="287"/>
      <c r="X25" s="785"/>
      <c r="Y25" s="785"/>
      <c r="Z25" s="287"/>
      <c r="AA25" s="287"/>
      <c r="AB25" s="785"/>
      <c r="AC25" s="286"/>
      <c r="AD25" s="286"/>
      <c r="AE25" s="279"/>
      <c r="AF25" s="279"/>
      <c r="AG25" s="291"/>
      <c r="AH25" s="794"/>
      <c r="AI25" s="776"/>
      <c r="AJ25" s="43"/>
    </row>
    <row r="26" spans="1:36" ht="24.95" customHeight="1" x14ac:dyDescent="0.2">
      <c r="A26" s="978"/>
      <c r="B26" s="975"/>
      <c r="C26" s="942"/>
      <c r="D26" s="821" t="s">
        <v>914</v>
      </c>
      <c r="E26" s="863"/>
      <c r="F26" s="895" t="s">
        <v>923</v>
      </c>
      <c r="G26" s="885"/>
      <c r="H26" s="886"/>
      <c r="I26" s="876"/>
      <c r="J26" s="795"/>
      <c r="K26" s="795"/>
      <c r="L26" s="795"/>
      <c r="M26" s="795"/>
      <c r="N26" s="795"/>
      <c r="O26" s="783">
        <v>196138</v>
      </c>
      <c r="P26" s="795">
        <v>34613</v>
      </c>
      <c r="Q26" s="795">
        <f t="shared" ref="Q26" si="30">N26</f>
        <v>0</v>
      </c>
      <c r="R26" s="783">
        <f>SUM(O26:Q28)</f>
        <v>230751</v>
      </c>
      <c r="S26" s="786">
        <f>R26</f>
        <v>230751</v>
      </c>
      <c r="T26" s="287">
        <v>211137</v>
      </c>
      <c r="U26" s="783">
        <f>S26-T26-T27-T28</f>
        <v>19614</v>
      </c>
      <c r="V26" s="789">
        <f>S26*0.8</f>
        <v>184600.80000000002</v>
      </c>
      <c r="W26" s="287">
        <v>168909.6</v>
      </c>
      <c r="X26" s="783">
        <f>V26-W26-W27-W28</f>
        <v>15691.200000000012</v>
      </c>
      <c r="Y26" s="783">
        <f t="shared" ref="Y26" si="31">S26*0.17/1.065</f>
        <v>36833.492957746486</v>
      </c>
      <c r="Z26" s="287"/>
      <c r="AA26" s="287"/>
      <c r="AB26" s="783">
        <f t="shared" ref="AB26" si="32">V26*0.2/1.065</f>
        <v>34666.816901408456</v>
      </c>
      <c r="AC26" s="287"/>
      <c r="AD26" s="287"/>
      <c r="AE26" s="277"/>
      <c r="AF26" s="277"/>
      <c r="AG26" s="288"/>
      <c r="AH26" s="792">
        <f>V26-Y26-AB26-AG26-AG27-AG28</f>
        <v>113100.49014084507</v>
      </c>
      <c r="AI26" s="774"/>
      <c r="AJ26" s="43"/>
    </row>
    <row r="27" spans="1:36" ht="24.95" customHeight="1" x14ac:dyDescent="0.2">
      <c r="A27" s="978"/>
      <c r="B27" s="975"/>
      <c r="C27" s="942"/>
      <c r="D27" s="821"/>
      <c r="E27" s="863"/>
      <c r="F27" s="896"/>
      <c r="G27" s="887"/>
      <c r="H27" s="888"/>
      <c r="I27" s="877"/>
      <c r="J27" s="796"/>
      <c r="K27" s="796"/>
      <c r="L27" s="796"/>
      <c r="M27" s="796"/>
      <c r="N27" s="796"/>
      <c r="O27" s="784"/>
      <c r="P27" s="796"/>
      <c r="Q27" s="796"/>
      <c r="R27" s="784"/>
      <c r="S27" s="787"/>
      <c r="T27" s="287">
        <v>0</v>
      </c>
      <c r="U27" s="784"/>
      <c r="V27" s="790"/>
      <c r="W27" s="287"/>
      <c r="X27" s="784"/>
      <c r="Y27" s="784"/>
      <c r="Z27" s="287"/>
      <c r="AA27" s="287"/>
      <c r="AB27" s="784"/>
      <c r="AC27" s="287"/>
      <c r="AD27" s="287"/>
      <c r="AE27" s="277"/>
      <c r="AF27" s="277"/>
      <c r="AG27" s="288"/>
      <c r="AH27" s="793"/>
      <c r="AI27" s="775"/>
      <c r="AJ27" s="43"/>
    </row>
    <row r="28" spans="1:36" ht="24.95" customHeight="1" x14ac:dyDescent="0.2">
      <c r="A28" s="978"/>
      <c r="B28" s="975"/>
      <c r="C28" s="942"/>
      <c r="D28" s="880"/>
      <c r="E28" s="863"/>
      <c r="F28" s="896"/>
      <c r="G28" s="887"/>
      <c r="H28" s="888"/>
      <c r="I28" s="878"/>
      <c r="J28" s="797"/>
      <c r="K28" s="797"/>
      <c r="L28" s="797"/>
      <c r="M28" s="797"/>
      <c r="N28" s="797"/>
      <c r="O28" s="785"/>
      <c r="P28" s="797"/>
      <c r="Q28" s="797"/>
      <c r="R28" s="785"/>
      <c r="S28" s="788"/>
      <c r="T28" s="287">
        <v>0</v>
      </c>
      <c r="U28" s="785"/>
      <c r="V28" s="791"/>
      <c r="W28" s="287"/>
      <c r="X28" s="785"/>
      <c r="Y28" s="785"/>
      <c r="Z28" s="287"/>
      <c r="AA28" s="287"/>
      <c r="AB28" s="785"/>
      <c r="AC28" s="287"/>
      <c r="AD28" s="287"/>
      <c r="AE28" s="277"/>
      <c r="AF28" s="277"/>
      <c r="AG28" s="288"/>
      <c r="AH28" s="794"/>
      <c r="AI28" s="776"/>
      <c r="AJ28" s="43"/>
    </row>
    <row r="29" spans="1:36" ht="24.95" customHeight="1" x14ac:dyDescent="0.2">
      <c r="A29" s="978"/>
      <c r="B29" s="975"/>
      <c r="C29" s="942"/>
      <c r="D29" s="821" t="s">
        <v>913</v>
      </c>
      <c r="E29" s="863"/>
      <c r="F29" s="895" t="s">
        <v>924</v>
      </c>
      <c r="G29" s="887"/>
      <c r="H29" s="888"/>
      <c r="I29" s="876"/>
      <c r="J29" s="795"/>
      <c r="K29" s="795"/>
      <c r="L29" s="795"/>
      <c r="M29" s="795"/>
      <c r="N29" s="795"/>
      <c r="O29" s="783">
        <v>385706</v>
      </c>
      <c r="P29" s="795">
        <f t="shared" ref="P29" si="33">M29</f>
        <v>0</v>
      </c>
      <c r="Q29" s="795">
        <f t="shared" ref="Q29" si="34">N29</f>
        <v>0</v>
      </c>
      <c r="R29" s="783">
        <f>SUM(O29:Q31)</f>
        <v>385706</v>
      </c>
      <c r="S29" s="786">
        <f>R29</f>
        <v>385706</v>
      </c>
      <c r="T29" s="287">
        <v>352921</v>
      </c>
      <c r="U29" s="783">
        <f>S29-T29-T30-T31</f>
        <v>32785</v>
      </c>
      <c r="V29" s="789">
        <f>S29*0.8</f>
        <v>308564.8</v>
      </c>
      <c r="W29" s="287">
        <v>282336.8</v>
      </c>
      <c r="X29" s="783">
        <f>V29-W29-W30-W31</f>
        <v>26228</v>
      </c>
      <c r="Y29" s="783">
        <f t="shared" ref="Y29" si="35">S29*0.17/1.065</f>
        <v>61568.093896713624</v>
      </c>
      <c r="Z29" s="287"/>
      <c r="AA29" s="287"/>
      <c r="AB29" s="783">
        <f t="shared" ref="AB29" si="36">V29*0.2/1.065</f>
        <v>57946.441314553995</v>
      </c>
      <c r="AC29" s="287"/>
      <c r="AD29" s="287"/>
      <c r="AE29" s="277"/>
      <c r="AF29" s="277"/>
      <c r="AG29" s="288"/>
      <c r="AH29" s="792">
        <f>V29-Y29-AB29-AG29-AG30-AG31</f>
        <v>189050.26478873237</v>
      </c>
      <c r="AI29" s="774"/>
      <c r="AJ29" s="43"/>
    </row>
    <row r="30" spans="1:36" ht="24.95" customHeight="1" x14ac:dyDescent="0.2">
      <c r="A30" s="978"/>
      <c r="B30" s="975"/>
      <c r="C30" s="942"/>
      <c r="D30" s="821"/>
      <c r="E30" s="863"/>
      <c r="F30" s="896"/>
      <c r="G30" s="887"/>
      <c r="H30" s="888"/>
      <c r="I30" s="877"/>
      <c r="J30" s="796"/>
      <c r="K30" s="796"/>
      <c r="L30" s="796"/>
      <c r="M30" s="796"/>
      <c r="N30" s="796"/>
      <c r="O30" s="784"/>
      <c r="P30" s="796"/>
      <c r="Q30" s="796"/>
      <c r="R30" s="784"/>
      <c r="S30" s="787"/>
      <c r="T30" s="287">
        <v>0</v>
      </c>
      <c r="U30" s="784"/>
      <c r="V30" s="790"/>
      <c r="W30" s="287"/>
      <c r="X30" s="784"/>
      <c r="Y30" s="784"/>
      <c r="Z30" s="287"/>
      <c r="AA30" s="287"/>
      <c r="AB30" s="784"/>
      <c r="AC30" s="287"/>
      <c r="AD30" s="287"/>
      <c r="AE30" s="277"/>
      <c r="AF30" s="277"/>
      <c r="AG30" s="288"/>
      <c r="AH30" s="793"/>
      <c r="AI30" s="775"/>
      <c r="AJ30" s="43"/>
    </row>
    <row r="31" spans="1:36" ht="24.95" customHeight="1" x14ac:dyDescent="0.2">
      <c r="A31" s="978"/>
      <c r="B31" s="975"/>
      <c r="C31" s="942"/>
      <c r="D31" s="880"/>
      <c r="E31" s="863"/>
      <c r="F31" s="896"/>
      <c r="G31" s="887"/>
      <c r="H31" s="888"/>
      <c r="I31" s="878"/>
      <c r="J31" s="797"/>
      <c r="K31" s="797"/>
      <c r="L31" s="797"/>
      <c r="M31" s="797"/>
      <c r="N31" s="797"/>
      <c r="O31" s="785"/>
      <c r="P31" s="797"/>
      <c r="Q31" s="797"/>
      <c r="R31" s="785"/>
      <c r="S31" s="788"/>
      <c r="T31" s="287">
        <v>0</v>
      </c>
      <c r="U31" s="785"/>
      <c r="V31" s="791"/>
      <c r="W31" s="287"/>
      <c r="X31" s="785"/>
      <c r="Y31" s="785"/>
      <c r="Z31" s="287"/>
      <c r="AA31" s="287"/>
      <c r="AB31" s="785"/>
      <c r="AC31" s="287"/>
      <c r="AD31" s="287"/>
      <c r="AE31" s="277"/>
      <c r="AF31" s="277"/>
      <c r="AG31" s="288"/>
      <c r="AH31" s="794"/>
      <c r="AI31" s="776"/>
      <c r="AJ31" s="43"/>
    </row>
    <row r="32" spans="1:36" ht="24.95" customHeight="1" x14ac:dyDescent="0.2">
      <c r="A32" s="978"/>
      <c r="B32" s="975"/>
      <c r="C32" s="942"/>
      <c r="D32" s="821" t="s">
        <v>967</v>
      </c>
      <c r="E32" s="863"/>
      <c r="F32" s="895" t="s">
        <v>968</v>
      </c>
      <c r="G32" s="887"/>
      <c r="H32" s="888"/>
      <c r="I32" s="876"/>
      <c r="J32" s="795"/>
      <c r="K32" s="795"/>
      <c r="L32" s="795"/>
      <c r="M32" s="795"/>
      <c r="N32" s="795"/>
      <c r="O32" s="783">
        <v>35300</v>
      </c>
      <c r="P32" s="795">
        <f t="shared" ref="P32" si="37">M32</f>
        <v>0</v>
      </c>
      <c r="Q32" s="795">
        <f t="shared" ref="Q32" si="38">N32</f>
        <v>0</v>
      </c>
      <c r="R32" s="783">
        <f>SUM(O32:Q34)</f>
        <v>35300</v>
      </c>
      <c r="S32" s="786">
        <f>R32</f>
        <v>35300</v>
      </c>
      <c r="T32" s="287">
        <v>35300</v>
      </c>
      <c r="U32" s="783">
        <f>S32-T32-T33-T34</f>
        <v>0</v>
      </c>
      <c r="V32" s="789">
        <f>S32*0.8</f>
        <v>28240</v>
      </c>
      <c r="W32" s="287"/>
      <c r="X32" s="783">
        <f>V32-W32-W33-W34</f>
        <v>28240</v>
      </c>
      <c r="Y32" s="783">
        <f t="shared" ref="Y32" si="39">S32*0.17/1.065</f>
        <v>5634.7417840375592</v>
      </c>
      <c r="Z32" s="287"/>
      <c r="AA32" s="287"/>
      <c r="AB32" s="783">
        <f t="shared" ref="AB32" si="40">V32*0.2/1.065</f>
        <v>5303.2863849765263</v>
      </c>
      <c r="AC32" s="287"/>
      <c r="AD32" s="287"/>
      <c r="AE32" s="277"/>
      <c r="AF32" s="277"/>
      <c r="AG32" s="288"/>
      <c r="AH32" s="792">
        <f>V32-Y32-AB32-AG32-AG33-AG34</f>
        <v>17301.971830985913</v>
      </c>
      <c r="AI32" s="774"/>
      <c r="AJ32" s="43"/>
    </row>
    <row r="33" spans="1:36" ht="24.95" customHeight="1" x14ac:dyDescent="0.2">
      <c r="A33" s="978"/>
      <c r="B33" s="975"/>
      <c r="C33" s="942"/>
      <c r="D33" s="821"/>
      <c r="E33" s="863"/>
      <c r="F33" s="896"/>
      <c r="G33" s="887"/>
      <c r="H33" s="888"/>
      <c r="I33" s="877"/>
      <c r="J33" s="796"/>
      <c r="K33" s="796"/>
      <c r="L33" s="796"/>
      <c r="M33" s="796"/>
      <c r="N33" s="796"/>
      <c r="O33" s="784"/>
      <c r="P33" s="796"/>
      <c r="Q33" s="796"/>
      <c r="R33" s="784"/>
      <c r="S33" s="787"/>
      <c r="T33" s="287">
        <v>0</v>
      </c>
      <c r="U33" s="784"/>
      <c r="V33" s="790"/>
      <c r="W33" s="287"/>
      <c r="X33" s="784"/>
      <c r="Y33" s="784"/>
      <c r="Z33" s="287"/>
      <c r="AA33" s="287"/>
      <c r="AB33" s="784"/>
      <c r="AC33" s="287"/>
      <c r="AD33" s="287"/>
      <c r="AE33" s="277"/>
      <c r="AF33" s="277"/>
      <c r="AG33" s="288"/>
      <c r="AH33" s="793"/>
      <c r="AI33" s="775"/>
      <c r="AJ33" s="43"/>
    </row>
    <row r="34" spans="1:36" ht="24.95" customHeight="1" x14ac:dyDescent="0.2">
      <c r="A34" s="979"/>
      <c r="B34" s="976"/>
      <c r="C34" s="943"/>
      <c r="D34" s="880"/>
      <c r="E34" s="894"/>
      <c r="F34" s="896"/>
      <c r="G34" s="889"/>
      <c r="H34" s="890"/>
      <c r="I34" s="878"/>
      <c r="J34" s="797"/>
      <c r="K34" s="797"/>
      <c r="L34" s="797"/>
      <c r="M34" s="797"/>
      <c r="N34" s="797"/>
      <c r="O34" s="785"/>
      <c r="P34" s="797"/>
      <c r="Q34" s="797"/>
      <c r="R34" s="785"/>
      <c r="S34" s="788"/>
      <c r="T34" s="287">
        <v>0</v>
      </c>
      <c r="U34" s="785"/>
      <c r="V34" s="791"/>
      <c r="W34" s="287"/>
      <c r="X34" s="785"/>
      <c r="Y34" s="785"/>
      <c r="Z34" s="287"/>
      <c r="AA34" s="287"/>
      <c r="AB34" s="785"/>
      <c r="AC34" s="287"/>
      <c r="AD34" s="287"/>
      <c r="AE34" s="277"/>
      <c r="AF34" s="277"/>
      <c r="AG34" s="288"/>
      <c r="AH34" s="794"/>
      <c r="AI34" s="776"/>
      <c r="AJ34" s="43"/>
    </row>
    <row r="35" spans="1:36" ht="24.95" customHeight="1" x14ac:dyDescent="0.2">
      <c r="A35" s="944">
        <v>5</v>
      </c>
      <c r="B35" s="971" t="s">
        <v>901</v>
      </c>
      <c r="C35" s="936">
        <v>2024.4</v>
      </c>
      <c r="D35" s="821"/>
      <c r="E35" s="884" t="s">
        <v>747</v>
      </c>
      <c r="F35" s="822" t="s">
        <v>904</v>
      </c>
      <c r="G35" s="270" t="s">
        <v>651</v>
      </c>
      <c r="H35" s="270" t="s">
        <v>994</v>
      </c>
      <c r="I35" s="876">
        <v>49000</v>
      </c>
      <c r="J35" s="798"/>
      <c r="K35" s="798"/>
      <c r="L35" s="795">
        <f>I35</f>
        <v>49000</v>
      </c>
      <c r="M35" s="798"/>
      <c r="N35" s="798"/>
      <c r="O35" s="783">
        <f t="shared" ref="O35:Q35" si="41">L35</f>
        <v>49000</v>
      </c>
      <c r="P35" s="795">
        <f t="shared" si="41"/>
        <v>0</v>
      </c>
      <c r="Q35" s="795">
        <f t="shared" si="41"/>
        <v>0</v>
      </c>
      <c r="R35" s="783">
        <f>SUM(O35:Q37)</f>
        <v>49000</v>
      </c>
      <c r="S35" s="786">
        <f>R35</f>
        <v>49000</v>
      </c>
      <c r="T35" s="287">
        <v>44100</v>
      </c>
      <c r="U35" s="783">
        <f>S35-T35-T36-T37</f>
        <v>0</v>
      </c>
      <c r="V35" s="789">
        <f>S35*0.82</f>
        <v>40180</v>
      </c>
      <c r="W35" s="287">
        <v>36162</v>
      </c>
      <c r="X35" s="783">
        <f>V35-W35-W36-W37</f>
        <v>4018</v>
      </c>
      <c r="Y35" s="783">
        <f t="shared" ref="Y35" si="42">S35*0.17/1.065</f>
        <v>7821.5962441314559</v>
      </c>
      <c r="Z35" s="287"/>
      <c r="AA35" s="287"/>
      <c r="AB35" s="783">
        <f t="shared" ref="AB35" si="43">V35*0.2/1.065</f>
        <v>7545.5399061032867</v>
      </c>
      <c r="AC35" s="287"/>
      <c r="AD35" s="287"/>
      <c r="AE35" s="278" t="s">
        <v>590</v>
      </c>
      <c r="AF35" s="278" t="s">
        <v>749</v>
      </c>
      <c r="AG35" s="290">
        <f>1*2500</f>
        <v>2500</v>
      </c>
      <c r="AH35" s="792">
        <f>V35-Y35-AB35-AG35-AG36-AG37</f>
        <v>22312.863849765257</v>
      </c>
      <c r="AI35" s="774"/>
      <c r="AJ35" s="43"/>
    </row>
    <row r="36" spans="1:36" ht="24.95" customHeight="1" x14ac:dyDescent="0.2">
      <c r="A36" s="947"/>
      <c r="B36" s="972"/>
      <c r="C36" s="936"/>
      <c r="D36" s="821"/>
      <c r="E36" s="884"/>
      <c r="F36" s="822"/>
      <c r="G36" s="270" t="s">
        <v>817</v>
      </c>
      <c r="H36" s="270"/>
      <c r="I36" s="877"/>
      <c r="J36" s="799"/>
      <c r="K36" s="799"/>
      <c r="L36" s="796"/>
      <c r="M36" s="799"/>
      <c r="N36" s="799"/>
      <c r="O36" s="784"/>
      <c r="P36" s="796"/>
      <c r="Q36" s="796"/>
      <c r="R36" s="784"/>
      <c r="S36" s="787"/>
      <c r="T36" s="287">
        <v>4900</v>
      </c>
      <c r="U36" s="784"/>
      <c r="V36" s="790"/>
      <c r="W36" s="287"/>
      <c r="X36" s="784"/>
      <c r="Y36" s="784"/>
      <c r="Z36" s="287"/>
      <c r="AA36" s="287"/>
      <c r="AB36" s="784"/>
      <c r="AC36" s="287"/>
      <c r="AD36" s="287"/>
      <c r="AE36" s="277"/>
      <c r="AF36" s="277"/>
      <c r="AG36" s="288"/>
      <c r="AH36" s="793"/>
      <c r="AI36" s="775"/>
      <c r="AJ36" s="43"/>
    </row>
    <row r="37" spans="1:36" ht="24.95" customHeight="1" x14ac:dyDescent="0.2">
      <c r="A37" s="948"/>
      <c r="B37" s="973"/>
      <c r="C37" s="936"/>
      <c r="D37" s="880"/>
      <c r="E37" s="884"/>
      <c r="F37" s="822"/>
      <c r="G37" s="270" t="s">
        <v>818</v>
      </c>
      <c r="H37" s="270" t="s">
        <v>585</v>
      </c>
      <c r="I37" s="878"/>
      <c r="J37" s="800"/>
      <c r="K37" s="800"/>
      <c r="L37" s="797"/>
      <c r="M37" s="800"/>
      <c r="N37" s="800"/>
      <c r="O37" s="785"/>
      <c r="P37" s="797"/>
      <c r="Q37" s="797"/>
      <c r="R37" s="785"/>
      <c r="S37" s="788"/>
      <c r="T37" s="287">
        <v>0</v>
      </c>
      <c r="U37" s="785"/>
      <c r="V37" s="791"/>
      <c r="W37" s="287"/>
      <c r="X37" s="785"/>
      <c r="Y37" s="785"/>
      <c r="Z37" s="287"/>
      <c r="AA37" s="287"/>
      <c r="AB37" s="785"/>
      <c r="AC37" s="287"/>
      <c r="AD37" s="287"/>
      <c r="AE37" s="277"/>
      <c r="AF37" s="277"/>
      <c r="AG37" s="288"/>
      <c r="AH37" s="794"/>
      <c r="AI37" s="776"/>
      <c r="AJ37" s="43"/>
    </row>
    <row r="38" spans="1:36" ht="24.95" customHeight="1" x14ac:dyDescent="0.2">
      <c r="A38" s="944">
        <v>6</v>
      </c>
      <c r="B38" s="971" t="s">
        <v>905</v>
      </c>
      <c r="C38" s="941">
        <v>2024.4</v>
      </c>
      <c r="D38" s="821" t="s">
        <v>918</v>
      </c>
      <c r="E38" s="862" t="s">
        <v>747</v>
      </c>
      <c r="F38" s="895" t="s">
        <v>906</v>
      </c>
      <c r="G38" s="270" t="s">
        <v>651</v>
      </c>
      <c r="H38" s="270"/>
      <c r="I38" s="876"/>
      <c r="J38" s="795"/>
      <c r="K38" s="795"/>
      <c r="L38" s="795"/>
      <c r="M38" s="795"/>
      <c r="N38" s="795"/>
      <c r="O38" s="783">
        <v>57632</v>
      </c>
      <c r="P38" s="795">
        <f t="shared" ref="P38:Q38" si="44">M38</f>
        <v>0</v>
      </c>
      <c r="Q38" s="795">
        <f t="shared" si="44"/>
        <v>0</v>
      </c>
      <c r="R38" s="783">
        <f>SUM(O38:Q40)</f>
        <v>57632</v>
      </c>
      <c r="S38" s="786">
        <f>R38</f>
        <v>57632</v>
      </c>
      <c r="T38" s="287">
        <v>51868.800000000003</v>
      </c>
      <c r="U38" s="783">
        <f>S38-T38-T39-T40</f>
        <v>5763.1999999999971</v>
      </c>
      <c r="V38" s="789">
        <f>S38*0.8</f>
        <v>46105.600000000006</v>
      </c>
      <c r="W38" s="287">
        <v>41495.040000000001</v>
      </c>
      <c r="X38" s="783">
        <f>V38-W38-W39-W40</f>
        <v>4610.5600000000049</v>
      </c>
      <c r="Y38" s="783">
        <f t="shared" ref="Y38" si="45">S38*0.17/1.065</f>
        <v>9199.474178403756</v>
      </c>
      <c r="Z38" s="287"/>
      <c r="AA38" s="287"/>
      <c r="AB38" s="783">
        <f t="shared" ref="AB38" si="46">V38*0.2/1.065</f>
        <v>8658.3286384976545</v>
      </c>
      <c r="AC38" s="287"/>
      <c r="AD38" s="287"/>
      <c r="AE38" s="278" t="s">
        <v>590</v>
      </c>
      <c r="AF38" s="278" t="s">
        <v>749</v>
      </c>
      <c r="AG38" s="290">
        <f>1.6*2000</f>
        <v>3200</v>
      </c>
      <c r="AH38" s="792">
        <f>V38-Y38-AB38-AG38-AG39-AG40</f>
        <v>25047.797183098599</v>
      </c>
      <c r="AI38" s="774"/>
      <c r="AJ38" s="43"/>
    </row>
    <row r="39" spans="1:36" ht="24.95" customHeight="1" x14ac:dyDescent="0.2">
      <c r="A39" s="947"/>
      <c r="B39" s="972"/>
      <c r="C39" s="942"/>
      <c r="D39" s="821"/>
      <c r="E39" s="863"/>
      <c r="F39" s="896"/>
      <c r="G39" s="270" t="s">
        <v>817</v>
      </c>
      <c r="H39" s="270"/>
      <c r="I39" s="877"/>
      <c r="J39" s="796"/>
      <c r="K39" s="796"/>
      <c r="L39" s="796"/>
      <c r="M39" s="796"/>
      <c r="N39" s="796"/>
      <c r="O39" s="784"/>
      <c r="P39" s="796"/>
      <c r="Q39" s="796"/>
      <c r="R39" s="784"/>
      <c r="S39" s="787"/>
      <c r="T39" s="287">
        <v>0</v>
      </c>
      <c r="U39" s="784"/>
      <c r="V39" s="790"/>
      <c r="W39" s="287"/>
      <c r="X39" s="784"/>
      <c r="Y39" s="784"/>
      <c r="Z39" s="287"/>
      <c r="AA39" s="287"/>
      <c r="AB39" s="784"/>
      <c r="AC39" s="287"/>
      <c r="AD39" s="287"/>
      <c r="AE39" s="277"/>
      <c r="AF39" s="277"/>
      <c r="AG39" s="288"/>
      <c r="AH39" s="793"/>
      <c r="AI39" s="775"/>
      <c r="AJ39" s="43"/>
    </row>
    <row r="40" spans="1:36" ht="24.95" customHeight="1" x14ac:dyDescent="0.2">
      <c r="A40" s="947"/>
      <c r="B40" s="972"/>
      <c r="C40" s="942"/>
      <c r="D40" s="880"/>
      <c r="E40" s="863"/>
      <c r="F40" s="896"/>
      <c r="G40" s="270" t="s">
        <v>818</v>
      </c>
      <c r="H40" s="270" t="s">
        <v>585</v>
      </c>
      <c r="I40" s="878"/>
      <c r="J40" s="797"/>
      <c r="K40" s="797"/>
      <c r="L40" s="797"/>
      <c r="M40" s="797"/>
      <c r="N40" s="797"/>
      <c r="O40" s="785"/>
      <c r="P40" s="797"/>
      <c r="Q40" s="797"/>
      <c r="R40" s="785"/>
      <c r="S40" s="788"/>
      <c r="T40" s="287">
        <v>0</v>
      </c>
      <c r="U40" s="785"/>
      <c r="V40" s="791"/>
      <c r="W40" s="287"/>
      <c r="X40" s="785"/>
      <c r="Y40" s="785"/>
      <c r="Z40" s="287"/>
      <c r="AA40" s="287"/>
      <c r="AB40" s="785"/>
      <c r="AC40" s="287"/>
      <c r="AD40" s="287"/>
      <c r="AE40" s="277"/>
      <c r="AF40" s="277"/>
      <c r="AG40" s="288"/>
      <c r="AH40" s="794"/>
      <c r="AI40" s="776"/>
      <c r="AJ40" s="43"/>
    </row>
    <row r="41" spans="1:36" ht="24.95" customHeight="1" x14ac:dyDescent="0.2">
      <c r="A41" s="947"/>
      <c r="B41" s="972"/>
      <c r="C41" s="942"/>
      <c r="D41" s="821" t="s">
        <v>941</v>
      </c>
      <c r="E41" s="863"/>
      <c r="F41" s="896"/>
      <c r="G41" s="885"/>
      <c r="H41" s="886"/>
      <c r="I41" s="876"/>
      <c r="J41" s="795"/>
      <c r="K41" s="795"/>
      <c r="L41" s="795"/>
      <c r="M41" s="795"/>
      <c r="N41" s="795"/>
      <c r="O41" s="783">
        <v>68048</v>
      </c>
      <c r="P41" s="795">
        <f t="shared" ref="P41:Q41" si="47">M41</f>
        <v>0</v>
      </c>
      <c r="Q41" s="795">
        <f t="shared" si="47"/>
        <v>0</v>
      </c>
      <c r="R41" s="783">
        <f>SUM(O41:Q43)</f>
        <v>68048</v>
      </c>
      <c r="S41" s="786">
        <f>R41</f>
        <v>68048</v>
      </c>
      <c r="T41" s="867">
        <v>68048</v>
      </c>
      <c r="U41" s="783">
        <f>S41-T41-T42-T43</f>
        <v>0</v>
      </c>
      <c r="V41" s="789">
        <f>S41*0.8</f>
        <v>54438.400000000001</v>
      </c>
      <c r="W41" s="287"/>
      <c r="X41" s="783">
        <f>V41-W41-W42-W43</f>
        <v>54438.400000000001</v>
      </c>
      <c r="Y41" s="783">
        <f t="shared" ref="Y41" si="48">S41*0.17/1.065</f>
        <v>10862.122065727701</v>
      </c>
      <c r="Z41" s="287"/>
      <c r="AA41" s="287"/>
      <c r="AB41" s="783">
        <f t="shared" ref="AB41" si="49">V41*0.2/1.065</f>
        <v>10223.173708920189</v>
      </c>
      <c r="AC41" s="287"/>
      <c r="AD41" s="287"/>
      <c r="AE41" s="278" t="s">
        <v>590</v>
      </c>
      <c r="AF41" s="278" t="s">
        <v>749</v>
      </c>
      <c r="AG41" s="290">
        <f>1.6*2000</f>
        <v>3200</v>
      </c>
      <c r="AH41" s="792">
        <f>V41-Y41-AB41-AG41-AG42-AG43</f>
        <v>30153.104225352115</v>
      </c>
      <c r="AI41" s="774"/>
      <c r="AJ41" s="43"/>
    </row>
    <row r="42" spans="1:36" ht="24.95" customHeight="1" x14ac:dyDescent="0.2">
      <c r="A42" s="947"/>
      <c r="B42" s="972"/>
      <c r="C42" s="942"/>
      <c r="D42" s="821"/>
      <c r="E42" s="863"/>
      <c r="F42" s="896"/>
      <c r="G42" s="887"/>
      <c r="H42" s="888"/>
      <c r="I42" s="877"/>
      <c r="J42" s="796"/>
      <c r="K42" s="796"/>
      <c r="L42" s="796"/>
      <c r="M42" s="796"/>
      <c r="N42" s="796"/>
      <c r="O42" s="784"/>
      <c r="P42" s="796"/>
      <c r="Q42" s="796"/>
      <c r="R42" s="784"/>
      <c r="S42" s="787"/>
      <c r="T42" s="868"/>
      <c r="U42" s="784"/>
      <c r="V42" s="790"/>
      <c r="W42" s="287"/>
      <c r="X42" s="784"/>
      <c r="Y42" s="784"/>
      <c r="Z42" s="287"/>
      <c r="AA42" s="287"/>
      <c r="AB42" s="784"/>
      <c r="AC42" s="287"/>
      <c r="AD42" s="287"/>
      <c r="AE42" s="277"/>
      <c r="AF42" s="277"/>
      <c r="AG42" s="288"/>
      <c r="AH42" s="793"/>
      <c r="AI42" s="775"/>
      <c r="AJ42" s="43"/>
    </row>
    <row r="43" spans="1:36" ht="24.95" customHeight="1" x14ac:dyDescent="0.2">
      <c r="A43" s="947"/>
      <c r="B43" s="972"/>
      <c r="C43" s="942"/>
      <c r="D43" s="880"/>
      <c r="E43" s="863"/>
      <c r="F43" s="896"/>
      <c r="G43" s="887"/>
      <c r="H43" s="888"/>
      <c r="I43" s="878"/>
      <c r="J43" s="797"/>
      <c r="K43" s="797"/>
      <c r="L43" s="797"/>
      <c r="M43" s="797"/>
      <c r="N43" s="797"/>
      <c r="O43" s="785"/>
      <c r="P43" s="797"/>
      <c r="Q43" s="797"/>
      <c r="R43" s="785"/>
      <c r="S43" s="788"/>
      <c r="T43" s="869"/>
      <c r="U43" s="785"/>
      <c r="V43" s="791"/>
      <c r="W43" s="287"/>
      <c r="X43" s="785"/>
      <c r="Y43" s="785"/>
      <c r="Z43" s="287"/>
      <c r="AA43" s="287"/>
      <c r="AB43" s="785"/>
      <c r="AC43" s="287"/>
      <c r="AD43" s="287"/>
      <c r="AE43" s="277"/>
      <c r="AF43" s="277"/>
      <c r="AG43" s="288"/>
      <c r="AH43" s="794"/>
      <c r="AI43" s="776"/>
      <c r="AJ43" s="43"/>
    </row>
    <row r="44" spans="1:36" ht="24.95" customHeight="1" x14ac:dyDescent="0.2">
      <c r="A44" s="947"/>
      <c r="B44" s="972"/>
      <c r="C44" s="942"/>
      <c r="D44" s="821" t="s">
        <v>919</v>
      </c>
      <c r="E44" s="863"/>
      <c r="F44" s="896"/>
      <c r="G44" s="887"/>
      <c r="H44" s="888"/>
      <c r="I44" s="876"/>
      <c r="J44" s="795"/>
      <c r="K44" s="795"/>
      <c r="L44" s="795"/>
      <c r="M44" s="795"/>
      <c r="N44" s="795"/>
      <c r="O44" s="783">
        <f t="shared" ref="O44" si="50">L44</f>
        <v>0</v>
      </c>
      <c r="P44" s="795">
        <f t="shared" ref="P44" si="51">M44</f>
        <v>0</v>
      </c>
      <c r="Q44" s="795">
        <f t="shared" ref="Q44" si="52">N44</f>
        <v>0</v>
      </c>
      <c r="R44" s="783">
        <f>SUM(O44:Q46)</f>
        <v>0</v>
      </c>
      <c r="S44" s="786">
        <f>R44</f>
        <v>0</v>
      </c>
      <c r="T44" s="287">
        <v>0</v>
      </c>
      <c r="U44" s="783">
        <f>S44-T44-T45-T46</f>
        <v>0</v>
      </c>
      <c r="V44" s="789">
        <f>S44*0.8</f>
        <v>0</v>
      </c>
      <c r="W44" s="287"/>
      <c r="X44" s="783">
        <f>V44-W44-W45-W46</f>
        <v>0</v>
      </c>
      <c r="Y44" s="783">
        <f t="shared" ref="Y44" si="53">S44*0.17/1.065</f>
        <v>0</v>
      </c>
      <c r="Z44" s="287"/>
      <c r="AA44" s="287"/>
      <c r="AB44" s="783">
        <f t="shared" ref="AB44" si="54">V44*0.2/1.065</f>
        <v>0</v>
      </c>
      <c r="AC44" s="287"/>
      <c r="AD44" s="287"/>
      <c r="AE44" s="278" t="s">
        <v>590</v>
      </c>
      <c r="AF44" s="278" t="s">
        <v>749</v>
      </c>
      <c r="AG44" s="290">
        <f>1.6*2000</f>
        <v>3200</v>
      </c>
      <c r="AH44" s="792">
        <f>V44-Y44-AB44-AG44-AG45-AG46</f>
        <v>-3200</v>
      </c>
      <c r="AI44" s="774"/>
      <c r="AJ44" s="43"/>
    </row>
    <row r="45" spans="1:36" ht="24.95" customHeight="1" x14ac:dyDescent="0.2">
      <c r="A45" s="947"/>
      <c r="B45" s="972"/>
      <c r="C45" s="942"/>
      <c r="D45" s="821"/>
      <c r="E45" s="863"/>
      <c r="F45" s="896"/>
      <c r="G45" s="887"/>
      <c r="H45" s="888"/>
      <c r="I45" s="877"/>
      <c r="J45" s="796"/>
      <c r="K45" s="796"/>
      <c r="L45" s="796"/>
      <c r="M45" s="796"/>
      <c r="N45" s="796"/>
      <c r="O45" s="784"/>
      <c r="P45" s="796"/>
      <c r="Q45" s="796"/>
      <c r="R45" s="784"/>
      <c r="S45" s="787"/>
      <c r="T45" s="287">
        <v>0</v>
      </c>
      <c r="U45" s="784"/>
      <c r="V45" s="790"/>
      <c r="W45" s="287"/>
      <c r="X45" s="784"/>
      <c r="Y45" s="784"/>
      <c r="Z45" s="287"/>
      <c r="AA45" s="287"/>
      <c r="AB45" s="784"/>
      <c r="AC45" s="287"/>
      <c r="AD45" s="287"/>
      <c r="AE45" s="277"/>
      <c r="AF45" s="277"/>
      <c r="AG45" s="288"/>
      <c r="AH45" s="793"/>
      <c r="AI45" s="775"/>
      <c r="AJ45" s="43"/>
    </row>
    <row r="46" spans="1:36" ht="24.95" customHeight="1" x14ac:dyDescent="0.2">
      <c r="A46" s="948"/>
      <c r="B46" s="973"/>
      <c r="C46" s="943"/>
      <c r="D46" s="880"/>
      <c r="E46" s="894"/>
      <c r="F46" s="897"/>
      <c r="G46" s="889"/>
      <c r="H46" s="890"/>
      <c r="I46" s="878"/>
      <c r="J46" s="797"/>
      <c r="K46" s="797"/>
      <c r="L46" s="797"/>
      <c r="M46" s="797"/>
      <c r="N46" s="797"/>
      <c r="O46" s="785"/>
      <c r="P46" s="797"/>
      <c r="Q46" s="797"/>
      <c r="R46" s="785"/>
      <c r="S46" s="788"/>
      <c r="T46" s="287">
        <v>0</v>
      </c>
      <c r="U46" s="785"/>
      <c r="V46" s="791"/>
      <c r="W46" s="287"/>
      <c r="X46" s="785"/>
      <c r="Y46" s="785"/>
      <c r="Z46" s="287"/>
      <c r="AA46" s="287"/>
      <c r="AB46" s="785"/>
      <c r="AC46" s="287"/>
      <c r="AD46" s="287"/>
      <c r="AE46" s="277"/>
      <c r="AF46" s="277"/>
      <c r="AG46" s="288"/>
      <c r="AH46" s="794"/>
      <c r="AI46" s="776"/>
      <c r="AJ46" s="43"/>
    </row>
    <row r="47" spans="1:36" ht="24.95" customHeight="1" x14ac:dyDescent="0.2">
      <c r="A47" s="944">
        <v>7</v>
      </c>
      <c r="B47" s="880" t="s">
        <v>911</v>
      </c>
      <c r="C47" s="941">
        <v>2024.5</v>
      </c>
      <c r="D47" s="982" t="s">
        <v>942</v>
      </c>
      <c r="E47" s="862" t="s">
        <v>747</v>
      </c>
      <c r="F47" s="822" t="s">
        <v>944</v>
      </c>
      <c r="G47" s="270" t="s">
        <v>651</v>
      </c>
      <c r="H47" s="270" t="s">
        <v>993</v>
      </c>
      <c r="I47" s="876"/>
      <c r="J47" s="795"/>
      <c r="K47" s="795"/>
      <c r="L47" s="795"/>
      <c r="M47" s="795"/>
      <c r="N47" s="795"/>
      <c r="O47" s="783">
        <f t="shared" ref="O47" si="55">L47</f>
        <v>0</v>
      </c>
      <c r="P47" s="795">
        <f t="shared" ref="P47" si="56">M47</f>
        <v>0</v>
      </c>
      <c r="Q47" s="795">
        <f t="shared" ref="Q47" si="57">N47</f>
        <v>0</v>
      </c>
      <c r="R47" s="783">
        <f>SUM(O47:Q49)</f>
        <v>0</v>
      </c>
      <c r="S47" s="786">
        <f>R47</f>
        <v>0</v>
      </c>
      <c r="T47" s="287">
        <v>0</v>
      </c>
      <c r="U47" s="783">
        <f>S47-T47-T48-T49</f>
        <v>0</v>
      </c>
      <c r="V47" s="789">
        <f>S47*0.8</f>
        <v>0</v>
      </c>
      <c r="W47" s="287"/>
      <c r="X47" s="783">
        <f>V47-W47-W48-W49</f>
        <v>0</v>
      </c>
      <c r="Y47" s="783">
        <f t="shared" ref="Y47" si="58">S47*0.17/1.065</f>
        <v>0</v>
      </c>
      <c r="Z47" s="287"/>
      <c r="AA47" s="287"/>
      <c r="AB47" s="783">
        <f t="shared" ref="AB47" si="59">V47*0.2/1.065</f>
        <v>0</v>
      </c>
      <c r="AC47" s="287"/>
      <c r="AD47" s="287"/>
      <c r="AE47" s="278"/>
      <c r="AF47" s="278"/>
      <c r="AG47" s="290"/>
      <c r="AH47" s="792">
        <f>V47-Y47-AB47-AG47-AG48-AG49</f>
        <v>0</v>
      </c>
      <c r="AI47" s="774"/>
      <c r="AJ47" s="43"/>
    </row>
    <row r="48" spans="1:36" ht="24.95" customHeight="1" x14ac:dyDescent="0.2">
      <c r="A48" s="947"/>
      <c r="B48" s="881"/>
      <c r="C48" s="942"/>
      <c r="D48" s="982"/>
      <c r="E48" s="863"/>
      <c r="F48" s="822"/>
      <c r="G48" s="270" t="s">
        <v>817</v>
      </c>
      <c r="H48" s="270"/>
      <c r="I48" s="877"/>
      <c r="J48" s="796"/>
      <c r="K48" s="796"/>
      <c r="L48" s="796"/>
      <c r="M48" s="796"/>
      <c r="N48" s="796"/>
      <c r="O48" s="784"/>
      <c r="P48" s="796"/>
      <c r="Q48" s="796"/>
      <c r="R48" s="784"/>
      <c r="S48" s="787"/>
      <c r="T48" s="287">
        <v>0</v>
      </c>
      <c r="U48" s="784"/>
      <c r="V48" s="790"/>
      <c r="W48" s="287"/>
      <c r="X48" s="784"/>
      <c r="Y48" s="784"/>
      <c r="Z48" s="287"/>
      <c r="AA48" s="287"/>
      <c r="AB48" s="784"/>
      <c r="AC48" s="287"/>
      <c r="AD48" s="287"/>
      <c r="AE48" s="278"/>
      <c r="AF48" s="278"/>
      <c r="AG48" s="290"/>
      <c r="AH48" s="793"/>
      <c r="AI48" s="775"/>
      <c r="AJ48" s="43"/>
    </row>
    <row r="49" spans="1:36" ht="24.75" customHeight="1" x14ac:dyDescent="0.2">
      <c r="A49" s="947"/>
      <c r="B49" s="881"/>
      <c r="C49" s="942"/>
      <c r="D49" s="971"/>
      <c r="E49" s="863"/>
      <c r="F49" s="822"/>
      <c r="G49" s="270" t="s">
        <v>818</v>
      </c>
      <c r="H49" s="270" t="s">
        <v>585</v>
      </c>
      <c r="I49" s="878"/>
      <c r="J49" s="797"/>
      <c r="K49" s="797"/>
      <c r="L49" s="797"/>
      <c r="M49" s="797"/>
      <c r="N49" s="797"/>
      <c r="O49" s="785"/>
      <c r="P49" s="797"/>
      <c r="Q49" s="797"/>
      <c r="R49" s="785"/>
      <c r="S49" s="788"/>
      <c r="T49" s="287">
        <v>0</v>
      </c>
      <c r="U49" s="785"/>
      <c r="V49" s="791"/>
      <c r="W49" s="287"/>
      <c r="X49" s="785"/>
      <c r="Y49" s="785"/>
      <c r="Z49" s="287"/>
      <c r="AA49" s="287"/>
      <c r="AB49" s="785"/>
      <c r="AC49" s="287"/>
      <c r="AD49" s="287"/>
      <c r="AE49" s="278"/>
      <c r="AF49" s="278"/>
      <c r="AG49" s="290"/>
      <c r="AH49" s="794"/>
      <c r="AI49" s="776"/>
      <c r="AJ49" s="43"/>
    </row>
    <row r="50" spans="1:36" ht="24.75" customHeight="1" x14ac:dyDescent="0.2">
      <c r="A50" s="947"/>
      <c r="B50" s="881"/>
      <c r="C50" s="942"/>
      <c r="D50" s="971" t="s">
        <v>943</v>
      </c>
      <c r="E50" s="863"/>
      <c r="F50" s="822" t="s">
        <v>945</v>
      </c>
      <c r="G50" s="885"/>
      <c r="H50" s="886"/>
      <c r="I50" s="876">
        <v>112384</v>
      </c>
      <c r="J50" s="798"/>
      <c r="K50" s="798"/>
      <c r="L50" s="783">
        <v>95526.399999999994</v>
      </c>
      <c r="M50" s="795">
        <v>16857.599999999999</v>
      </c>
      <c r="N50" s="798"/>
      <c r="O50" s="783">
        <f>L50</f>
        <v>95526.399999999994</v>
      </c>
      <c r="P50" s="795">
        <f t="shared" ref="P50" si="60">M50</f>
        <v>16857.599999999999</v>
      </c>
      <c r="Q50" s="795">
        <f t="shared" ref="Q50" si="61">N50</f>
        <v>0</v>
      </c>
      <c r="R50" s="783">
        <f>SUM(O50:Q52)</f>
        <v>112384</v>
      </c>
      <c r="S50" s="786">
        <f>R50</f>
        <v>112384</v>
      </c>
      <c r="T50" s="287">
        <v>101145</v>
      </c>
      <c r="U50" s="783">
        <f>S50-T50-T51-T52</f>
        <v>11239</v>
      </c>
      <c r="V50" s="789">
        <f>S50*0.8</f>
        <v>89907.200000000012</v>
      </c>
      <c r="W50" s="287">
        <v>80916</v>
      </c>
      <c r="X50" s="783">
        <f>V50-W50-W51-W52</f>
        <v>8991.2000000000116</v>
      </c>
      <c r="Y50" s="783">
        <f t="shared" ref="Y50" si="62">S50*0.17/1.065</f>
        <v>17939.23004694836</v>
      </c>
      <c r="Z50" s="287"/>
      <c r="AA50" s="287"/>
      <c r="AB50" s="783">
        <f t="shared" ref="AB50" si="63">V50*0.2/1.065</f>
        <v>16883.981220657279</v>
      </c>
      <c r="AC50" s="287"/>
      <c r="AD50" s="287"/>
      <c r="AE50" s="278" t="s">
        <v>590</v>
      </c>
      <c r="AF50" s="278" t="s">
        <v>749</v>
      </c>
      <c r="AG50" s="290">
        <v>2000</v>
      </c>
      <c r="AH50" s="792">
        <f>V50-Y50-AB50-AG50-AG51-AG52</f>
        <v>53083.988732394369</v>
      </c>
      <c r="AI50" s="774"/>
      <c r="AJ50" s="43"/>
    </row>
    <row r="51" spans="1:36" ht="24.75" customHeight="1" x14ac:dyDescent="0.2">
      <c r="A51" s="947"/>
      <c r="B51" s="881"/>
      <c r="C51" s="942"/>
      <c r="D51" s="972"/>
      <c r="E51" s="863"/>
      <c r="F51" s="822"/>
      <c r="G51" s="887"/>
      <c r="H51" s="888"/>
      <c r="I51" s="877"/>
      <c r="J51" s="799"/>
      <c r="K51" s="799"/>
      <c r="L51" s="784"/>
      <c r="M51" s="796"/>
      <c r="N51" s="799"/>
      <c r="O51" s="784"/>
      <c r="P51" s="796"/>
      <c r="Q51" s="796"/>
      <c r="R51" s="784"/>
      <c r="S51" s="787"/>
      <c r="T51" s="287">
        <v>0</v>
      </c>
      <c r="U51" s="784"/>
      <c r="V51" s="790"/>
      <c r="W51" s="287"/>
      <c r="X51" s="784"/>
      <c r="Y51" s="784"/>
      <c r="Z51" s="287"/>
      <c r="AA51" s="287"/>
      <c r="AB51" s="784"/>
      <c r="AC51" s="287"/>
      <c r="AD51" s="287"/>
      <c r="AE51" s="278"/>
      <c r="AF51" s="278"/>
      <c r="AG51" s="290"/>
      <c r="AH51" s="793"/>
      <c r="AI51" s="775"/>
      <c r="AJ51" s="43"/>
    </row>
    <row r="52" spans="1:36" ht="24.75" customHeight="1" x14ac:dyDescent="0.2">
      <c r="A52" s="947"/>
      <c r="B52" s="881"/>
      <c r="C52" s="942"/>
      <c r="D52" s="973"/>
      <c r="E52" s="863"/>
      <c r="F52" s="822"/>
      <c r="G52" s="887"/>
      <c r="H52" s="888"/>
      <c r="I52" s="878"/>
      <c r="J52" s="800"/>
      <c r="K52" s="800"/>
      <c r="L52" s="785"/>
      <c r="M52" s="797"/>
      <c r="N52" s="800"/>
      <c r="O52" s="785"/>
      <c r="P52" s="797"/>
      <c r="Q52" s="797"/>
      <c r="R52" s="785"/>
      <c r="S52" s="788"/>
      <c r="T52" s="287">
        <v>0</v>
      </c>
      <c r="U52" s="785"/>
      <c r="V52" s="791"/>
      <c r="W52" s="287"/>
      <c r="X52" s="785"/>
      <c r="Y52" s="785"/>
      <c r="Z52" s="287"/>
      <c r="AA52" s="287"/>
      <c r="AB52" s="785"/>
      <c r="AC52" s="287"/>
      <c r="AD52" s="287"/>
      <c r="AE52" s="278"/>
      <c r="AF52" s="278"/>
      <c r="AG52" s="290"/>
      <c r="AH52" s="794"/>
      <c r="AI52" s="776"/>
      <c r="AJ52" s="43"/>
    </row>
    <row r="53" spans="1:36" ht="24.75" customHeight="1" x14ac:dyDescent="0.2">
      <c r="A53" s="947"/>
      <c r="B53" s="881"/>
      <c r="C53" s="942"/>
      <c r="D53" s="971" t="s">
        <v>946</v>
      </c>
      <c r="E53" s="863"/>
      <c r="F53" s="822" t="s">
        <v>964</v>
      </c>
      <c r="G53" s="887"/>
      <c r="H53" s="888"/>
      <c r="I53" s="876"/>
      <c r="J53" s="795"/>
      <c r="K53" s="795"/>
      <c r="L53" s="795"/>
      <c r="M53" s="795"/>
      <c r="N53" s="795"/>
      <c r="O53" s="783">
        <v>82750.25</v>
      </c>
      <c r="P53" s="795">
        <f t="shared" ref="P53" si="64">M53</f>
        <v>0</v>
      </c>
      <c r="Q53" s="795">
        <f t="shared" ref="Q53" si="65">N53</f>
        <v>0</v>
      </c>
      <c r="R53" s="783">
        <f>SUM(O53:Q55)</f>
        <v>82750.25</v>
      </c>
      <c r="S53" s="786">
        <f>R53</f>
        <v>82750.25</v>
      </c>
      <c r="T53" s="867">
        <v>82750.25</v>
      </c>
      <c r="U53" s="783">
        <f>S53-T53-T54-T55</f>
        <v>0</v>
      </c>
      <c r="V53" s="789">
        <f>S53*0.8</f>
        <v>66200.2</v>
      </c>
      <c r="W53" s="287"/>
      <c r="X53" s="783">
        <f>V53-W53-W54-W55</f>
        <v>66200.2</v>
      </c>
      <c r="Y53" s="783">
        <f t="shared" ref="Y53" si="66">S53*0.17/1.065</f>
        <v>13208.960093896716</v>
      </c>
      <c r="Z53" s="287"/>
      <c r="AA53" s="287"/>
      <c r="AB53" s="783">
        <f t="shared" ref="AB53" si="67">V53*0.2/1.065</f>
        <v>12431.962441314556</v>
      </c>
      <c r="AC53" s="287"/>
      <c r="AD53" s="287"/>
      <c r="AE53" s="278"/>
      <c r="AF53" s="278"/>
      <c r="AG53" s="290"/>
      <c r="AH53" s="792">
        <f>V53-Y53-AB53-AG53-AG54-AG55</f>
        <v>40559.27746478872</v>
      </c>
      <c r="AI53" s="774"/>
      <c r="AJ53" s="43"/>
    </row>
    <row r="54" spans="1:36" ht="24.75" customHeight="1" x14ac:dyDescent="0.2">
      <c r="A54" s="947"/>
      <c r="B54" s="881"/>
      <c r="C54" s="942"/>
      <c r="D54" s="972"/>
      <c r="E54" s="863"/>
      <c r="F54" s="822"/>
      <c r="G54" s="887"/>
      <c r="H54" s="888"/>
      <c r="I54" s="877"/>
      <c r="J54" s="796"/>
      <c r="K54" s="796"/>
      <c r="L54" s="796"/>
      <c r="M54" s="796"/>
      <c r="N54" s="796"/>
      <c r="O54" s="784"/>
      <c r="P54" s="796"/>
      <c r="Q54" s="796"/>
      <c r="R54" s="784"/>
      <c r="S54" s="787"/>
      <c r="T54" s="868"/>
      <c r="U54" s="784"/>
      <c r="V54" s="790"/>
      <c r="W54" s="287"/>
      <c r="X54" s="784"/>
      <c r="Y54" s="784"/>
      <c r="Z54" s="287"/>
      <c r="AA54" s="287"/>
      <c r="AB54" s="784"/>
      <c r="AC54" s="287"/>
      <c r="AD54" s="287"/>
      <c r="AE54" s="278"/>
      <c r="AF54" s="278"/>
      <c r="AG54" s="290"/>
      <c r="AH54" s="793"/>
      <c r="AI54" s="775"/>
      <c r="AJ54" s="43"/>
    </row>
    <row r="55" spans="1:36" ht="24.75" customHeight="1" x14ac:dyDescent="0.2">
      <c r="A55" s="947"/>
      <c r="B55" s="881"/>
      <c r="C55" s="942"/>
      <c r="D55" s="973"/>
      <c r="E55" s="863"/>
      <c r="F55" s="822"/>
      <c r="G55" s="887"/>
      <c r="H55" s="888"/>
      <c r="I55" s="878"/>
      <c r="J55" s="797"/>
      <c r="K55" s="797"/>
      <c r="L55" s="797"/>
      <c r="M55" s="797"/>
      <c r="N55" s="797"/>
      <c r="O55" s="785"/>
      <c r="P55" s="797"/>
      <c r="Q55" s="797"/>
      <c r="R55" s="785"/>
      <c r="S55" s="788"/>
      <c r="T55" s="869"/>
      <c r="U55" s="785"/>
      <c r="V55" s="791"/>
      <c r="W55" s="287"/>
      <c r="X55" s="785"/>
      <c r="Y55" s="785"/>
      <c r="Z55" s="287"/>
      <c r="AA55" s="287"/>
      <c r="AB55" s="785"/>
      <c r="AC55" s="287"/>
      <c r="AD55" s="287"/>
      <c r="AE55" s="278"/>
      <c r="AF55" s="278"/>
      <c r="AG55" s="290"/>
      <c r="AH55" s="794"/>
      <c r="AI55" s="776"/>
      <c r="AJ55" s="43"/>
    </row>
    <row r="56" spans="1:36" ht="24.75" customHeight="1" x14ac:dyDescent="0.2">
      <c r="A56" s="947"/>
      <c r="B56" s="881"/>
      <c r="C56" s="942"/>
      <c r="D56" s="971" t="s">
        <v>966</v>
      </c>
      <c r="E56" s="863"/>
      <c r="F56" s="822" t="s">
        <v>965</v>
      </c>
      <c r="G56" s="887"/>
      <c r="H56" s="888"/>
      <c r="I56" s="876"/>
      <c r="J56" s="795"/>
      <c r="K56" s="795"/>
      <c r="L56" s="795"/>
      <c r="M56" s="795"/>
      <c r="N56" s="795"/>
      <c r="O56" s="783">
        <v>88654.67</v>
      </c>
      <c r="P56" s="795">
        <f t="shared" ref="P56" si="68">M56</f>
        <v>0</v>
      </c>
      <c r="Q56" s="795">
        <f t="shared" ref="Q56" si="69">N56</f>
        <v>0</v>
      </c>
      <c r="R56" s="783">
        <f>SUM(O56:Q58)</f>
        <v>88654.67</v>
      </c>
      <c r="S56" s="786">
        <f>R56</f>
        <v>88654.67</v>
      </c>
      <c r="T56" s="867">
        <v>88654.67</v>
      </c>
      <c r="U56" s="783">
        <f>S56-T56-T57-T58</f>
        <v>0</v>
      </c>
      <c r="V56" s="789">
        <f>S56*0.8</f>
        <v>70923.736000000004</v>
      </c>
      <c r="W56" s="287"/>
      <c r="X56" s="783">
        <f>V56-W56-W57-W58</f>
        <v>70923.736000000004</v>
      </c>
      <c r="Y56" s="783">
        <f t="shared" ref="Y56" si="70">S56*0.17/1.065</f>
        <v>14151.449671361504</v>
      </c>
      <c r="Z56" s="287"/>
      <c r="AA56" s="287"/>
      <c r="AB56" s="783">
        <f t="shared" ref="AB56" si="71">V56*0.2/1.065</f>
        <v>13319.011455399062</v>
      </c>
      <c r="AC56" s="287"/>
      <c r="AD56" s="287"/>
      <c r="AE56" s="278"/>
      <c r="AF56" s="278"/>
      <c r="AG56" s="290"/>
      <c r="AH56" s="792">
        <f>V56-Y56-AB56-AG56-AG57-AG58</f>
        <v>43453.274873239432</v>
      </c>
      <c r="AI56" s="774"/>
      <c r="AJ56" s="43"/>
    </row>
    <row r="57" spans="1:36" ht="24.75" customHeight="1" x14ac:dyDescent="0.2">
      <c r="A57" s="947"/>
      <c r="B57" s="881"/>
      <c r="C57" s="942"/>
      <c r="D57" s="972"/>
      <c r="E57" s="863"/>
      <c r="F57" s="822"/>
      <c r="G57" s="887"/>
      <c r="H57" s="888"/>
      <c r="I57" s="877"/>
      <c r="J57" s="796"/>
      <c r="K57" s="796"/>
      <c r="L57" s="796"/>
      <c r="M57" s="796"/>
      <c r="N57" s="796"/>
      <c r="O57" s="784"/>
      <c r="P57" s="796"/>
      <c r="Q57" s="796"/>
      <c r="R57" s="784"/>
      <c r="S57" s="787"/>
      <c r="T57" s="868"/>
      <c r="U57" s="784"/>
      <c r="V57" s="790"/>
      <c r="W57" s="287"/>
      <c r="X57" s="784"/>
      <c r="Y57" s="784"/>
      <c r="Z57" s="287"/>
      <c r="AA57" s="287"/>
      <c r="AB57" s="784"/>
      <c r="AC57" s="287"/>
      <c r="AD57" s="287"/>
      <c r="AE57" s="278"/>
      <c r="AF57" s="278"/>
      <c r="AG57" s="290"/>
      <c r="AH57" s="793"/>
      <c r="AI57" s="775"/>
      <c r="AJ57" s="43"/>
    </row>
    <row r="58" spans="1:36" ht="24.75" customHeight="1" x14ac:dyDescent="0.2">
      <c r="A58" s="948"/>
      <c r="B58" s="882"/>
      <c r="C58" s="943"/>
      <c r="D58" s="973"/>
      <c r="E58" s="894"/>
      <c r="F58" s="822"/>
      <c r="G58" s="889"/>
      <c r="H58" s="890"/>
      <c r="I58" s="878"/>
      <c r="J58" s="797"/>
      <c r="K58" s="797"/>
      <c r="L58" s="797"/>
      <c r="M58" s="797"/>
      <c r="N58" s="797"/>
      <c r="O58" s="785"/>
      <c r="P58" s="797"/>
      <c r="Q58" s="797"/>
      <c r="R58" s="785"/>
      <c r="S58" s="788"/>
      <c r="T58" s="869"/>
      <c r="U58" s="785"/>
      <c r="V58" s="791"/>
      <c r="W58" s="287"/>
      <c r="X58" s="785"/>
      <c r="Y58" s="785"/>
      <c r="Z58" s="287"/>
      <c r="AA58" s="287"/>
      <c r="AB58" s="785"/>
      <c r="AC58" s="287"/>
      <c r="AD58" s="287"/>
      <c r="AE58" s="278"/>
      <c r="AF58" s="278"/>
      <c r="AG58" s="290"/>
      <c r="AH58" s="794"/>
      <c r="AI58" s="776"/>
      <c r="AJ58" s="43"/>
    </row>
    <row r="59" spans="1:36" ht="24.95" customHeight="1" x14ac:dyDescent="0.2">
      <c r="A59" s="944">
        <v>8</v>
      </c>
      <c r="B59" s="880" t="s">
        <v>910</v>
      </c>
      <c r="C59" s="941">
        <v>2024.5</v>
      </c>
      <c r="D59" s="821" t="s">
        <v>958</v>
      </c>
      <c r="E59" s="884" t="s">
        <v>779</v>
      </c>
      <c r="F59" s="822" t="s">
        <v>920</v>
      </c>
      <c r="G59" s="270" t="s">
        <v>651</v>
      </c>
      <c r="H59" s="270" t="s">
        <v>820</v>
      </c>
      <c r="I59" s="876">
        <v>7108</v>
      </c>
      <c r="J59" s="798"/>
      <c r="K59" s="798"/>
      <c r="L59" s="795">
        <f>I59</f>
        <v>7108</v>
      </c>
      <c r="M59" s="798"/>
      <c r="N59" s="798"/>
      <c r="O59" s="783">
        <f t="shared" ref="O59:Q59" si="72">L59</f>
        <v>7108</v>
      </c>
      <c r="P59" s="795">
        <f t="shared" si="72"/>
        <v>0</v>
      </c>
      <c r="Q59" s="795">
        <f t="shared" si="72"/>
        <v>0</v>
      </c>
      <c r="R59" s="783">
        <f>SUM(O59:Q61)</f>
        <v>7108</v>
      </c>
      <c r="S59" s="786">
        <f>R59</f>
        <v>7108</v>
      </c>
      <c r="T59" s="287">
        <v>7108</v>
      </c>
      <c r="U59" s="783">
        <f>S59-T59-T60-T61</f>
        <v>0</v>
      </c>
      <c r="V59" s="789">
        <f>S59*0.85</f>
        <v>6041.8</v>
      </c>
      <c r="W59" s="287">
        <f>T59*0.85</f>
        <v>6041.8</v>
      </c>
      <c r="X59" s="783">
        <f>V59-W59-W60-W61</f>
        <v>0</v>
      </c>
      <c r="Y59" s="783">
        <f t="shared" ref="Y59" si="73">S59*0.17/1.065</f>
        <v>1134.6103286384978</v>
      </c>
      <c r="Z59" s="287"/>
      <c r="AA59" s="287"/>
      <c r="AB59" s="783">
        <f t="shared" ref="AB59" si="74">V59*0.2/1.065</f>
        <v>1134.6103286384978</v>
      </c>
      <c r="AC59" s="287"/>
      <c r="AD59" s="287"/>
      <c r="AE59" s="278"/>
      <c r="AF59" s="278"/>
      <c r="AG59" s="290"/>
      <c r="AH59" s="792">
        <f>V59-Y59-AB59-AG59-AG60-AG61</f>
        <v>3772.5793427230046</v>
      </c>
      <c r="AI59" s="774"/>
      <c r="AJ59" s="43"/>
    </row>
    <row r="60" spans="1:36" ht="24.95" customHeight="1" x14ac:dyDescent="0.2">
      <c r="A60" s="947"/>
      <c r="B60" s="881"/>
      <c r="C60" s="942"/>
      <c r="D60" s="821"/>
      <c r="E60" s="884"/>
      <c r="F60" s="822"/>
      <c r="G60" s="270" t="s">
        <v>817</v>
      </c>
      <c r="H60" s="270" t="s">
        <v>821</v>
      </c>
      <c r="I60" s="877"/>
      <c r="J60" s="799"/>
      <c r="K60" s="799"/>
      <c r="L60" s="796"/>
      <c r="M60" s="799"/>
      <c r="N60" s="799"/>
      <c r="O60" s="784"/>
      <c r="P60" s="796"/>
      <c r="Q60" s="796"/>
      <c r="R60" s="784"/>
      <c r="S60" s="787"/>
      <c r="T60" s="287">
        <v>0</v>
      </c>
      <c r="U60" s="784"/>
      <c r="V60" s="790"/>
      <c r="W60" s="287"/>
      <c r="X60" s="784"/>
      <c r="Y60" s="784"/>
      <c r="Z60" s="287"/>
      <c r="AA60" s="287"/>
      <c r="AB60" s="784"/>
      <c r="AC60" s="287"/>
      <c r="AD60" s="287"/>
      <c r="AE60" s="278"/>
      <c r="AF60" s="278"/>
      <c r="AG60" s="290"/>
      <c r="AH60" s="793"/>
      <c r="AI60" s="775"/>
      <c r="AJ60" s="43"/>
    </row>
    <row r="61" spans="1:36" ht="24.95" customHeight="1" x14ac:dyDescent="0.2">
      <c r="A61" s="947"/>
      <c r="B61" s="881"/>
      <c r="C61" s="942"/>
      <c r="D61" s="880"/>
      <c r="E61" s="884"/>
      <c r="F61" s="822"/>
      <c r="G61" s="270" t="s">
        <v>818</v>
      </c>
      <c r="H61" s="270" t="s">
        <v>585</v>
      </c>
      <c r="I61" s="878"/>
      <c r="J61" s="800"/>
      <c r="K61" s="800"/>
      <c r="L61" s="797"/>
      <c r="M61" s="800"/>
      <c r="N61" s="800"/>
      <c r="O61" s="785"/>
      <c r="P61" s="797"/>
      <c r="Q61" s="797"/>
      <c r="R61" s="785"/>
      <c r="S61" s="788"/>
      <c r="T61" s="287">
        <v>0</v>
      </c>
      <c r="U61" s="785"/>
      <c r="V61" s="791"/>
      <c r="W61" s="287"/>
      <c r="X61" s="785"/>
      <c r="Y61" s="785"/>
      <c r="Z61" s="287"/>
      <c r="AA61" s="287"/>
      <c r="AB61" s="785"/>
      <c r="AC61" s="287"/>
      <c r="AD61" s="287"/>
      <c r="AE61" s="278"/>
      <c r="AF61" s="278"/>
      <c r="AG61" s="290"/>
      <c r="AH61" s="794"/>
      <c r="AI61" s="776"/>
      <c r="AJ61" s="43"/>
    </row>
    <row r="62" spans="1:36" ht="24.95" customHeight="1" x14ac:dyDescent="0.2">
      <c r="A62" s="947"/>
      <c r="B62" s="881"/>
      <c r="C62" s="942"/>
      <c r="D62" s="821" t="s">
        <v>959</v>
      </c>
      <c r="E62" s="884"/>
      <c r="F62" s="822"/>
      <c r="G62" s="984"/>
      <c r="H62" s="984"/>
      <c r="I62" s="876">
        <v>17553</v>
      </c>
      <c r="J62" s="798"/>
      <c r="K62" s="798"/>
      <c r="L62" s="795">
        <f t="shared" ref="L62" si="75">I62</f>
        <v>17553</v>
      </c>
      <c r="M62" s="798"/>
      <c r="N62" s="798"/>
      <c r="O62" s="783">
        <f t="shared" ref="O62" si="76">L62</f>
        <v>17553</v>
      </c>
      <c r="P62" s="795">
        <f t="shared" ref="P62" si="77">M62</f>
        <v>0</v>
      </c>
      <c r="Q62" s="795">
        <f t="shared" ref="Q62" si="78">N62</f>
        <v>0</v>
      </c>
      <c r="R62" s="783">
        <f>SUM(O62:Q64)</f>
        <v>17553</v>
      </c>
      <c r="S62" s="786">
        <f>R62</f>
        <v>17553</v>
      </c>
      <c r="T62" s="287">
        <v>17553</v>
      </c>
      <c r="U62" s="783">
        <f>S62-T62-T63-T64</f>
        <v>0</v>
      </c>
      <c r="V62" s="789">
        <f t="shared" ref="V62" si="79">S62*0.85</f>
        <v>14920.05</v>
      </c>
      <c r="W62" s="287">
        <f>T62*0.85</f>
        <v>14920.05</v>
      </c>
      <c r="X62" s="783">
        <f>V62-W62-W63-W64</f>
        <v>0</v>
      </c>
      <c r="Y62" s="783">
        <f t="shared" ref="Y62" si="80">S62*0.17/1.065</f>
        <v>2801.8873239436625</v>
      </c>
      <c r="Z62" s="287"/>
      <c r="AA62" s="287"/>
      <c r="AB62" s="783">
        <f t="shared" ref="AB62" si="81">V62*0.2/1.065</f>
        <v>2801.8873239436625</v>
      </c>
      <c r="AC62" s="287"/>
      <c r="AD62" s="287"/>
      <c r="AE62" s="278"/>
      <c r="AF62" s="278"/>
      <c r="AG62" s="290"/>
      <c r="AH62" s="792">
        <f>V62-Y62-AB62-AG62-AG63-AG64</f>
        <v>9316.275352112676</v>
      </c>
      <c r="AI62" s="774"/>
      <c r="AJ62" s="43"/>
    </row>
    <row r="63" spans="1:36" ht="24.95" customHeight="1" x14ac:dyDescent="0.2">
      <c r="A63" s="947"/>
      <c r="B63" s="881"/>
      <c r="C63" s="942"/>
      <c r="D63" s="821"/>
      <c r="E63" s="884"/>
      <c r="F63" s="822"/>
      <c r="G63" s="984"/>
      <c r="H63" s="984"/>
      <c r="I63" s="877"/>
      <c r="J63" s="799"/>
      <c r="K63" s="799"/>
      <c r="L63" s="796"/>
      <c r="M63" s="799"/>
      <c r="N63" s="799"/>
      <c r="O63" s="784"/>
      <c r="P63" s="796"/>
      <c r="Q63" s="796"/>
      <c r="R63" s="784"/>
      <c r="S63" s="787"/>
      <c r="T63" s="287">
        <v>0</v>
      </c>
      <c r="U63" s="784"/>
      <c r="V63" s="790"/>
      <c r="W63" s="287"/>
      <c r="X63" s="784"/>
      <c r="Y63" s="784"/>
      <c r="Z63" s="287"/>
      <c r="AA63" s="287"/>
      <c r="AB63" s="784"/>
      <c r="AC63" s="287"/>
      <c r="AD63" s="287"/>
      <c r="AE63" s="278"/>
      <c r="AF63" s="278"/>
      <c r="AG63" s="290"/>
      <c r="AH63" s="793"/>
      <c r="AI63" s="775"/>
      <c r="AJ63" s="43"/>
    </row>
    <row r="64" spans="1:36" ht="24.95" customHeight="1" x14ac:dyDescent="0.2">
      <c r="A64" s="947"/>
      <c r="B64" s="881"/>
      <c r="C64" s="942"/>
      <c r="D64" s="880"/>
      <c r="E64" s="884"/>
      <c r="F64" s="822"/>
      <c r="G64" s="984"/>
      <c r="H64" s="984"/>
      <c r="I64" s="878"/>
      <c r="J64" s="800"/>
      <c r="K64" s="800"/>
      <c r="L64" s="797"/>
      <c r="M64" s="800"/>
      <c r="N64" s="800"/>
      <c r="O64" s="785"/>
      <c r="P64" s="797"/>
      <c r="Q64" s="797"/>
      <c r="R64" s="785"/>
      <c r="S64" s="788"/>
      <c r="T64" s="287">
        <v>0</v>
      </c>
      <c r="U64" s="785"/>
      <c r="V64" s="791"/>
      <c r="W64" s="287"/>
      <c r="X64" s="785"/>
      <c r="Y64" s="785"/>
      <c r="Z64" s="287"/>
      <c r="AA64" s="287"/>
      <c r="AB64" s="785"/>
      <c r="AC64" s="287"/>
      <c r="AD64" s="287"/>
      <c r="AE64" s="278"/>
      <c r="AF64" s="278"/>
      <c r="AG64" s="290"/>
      <c r="AH64" s="794"/>
      <c r="AI64" s="776"/>
      <c r="AJ64" s="43"/>
    </row>
    <row r="65" spans="1:36" ht="24.95" customHeight="1" x14ac:dyDescent="0.2">
      <c r="A65" s="947"/>
      <c r="B65" s="881"/>
      <c r="C65" s="942"/>
      <c r="D65" s="821" t="s">
        <v>960</v>
      </c>
      <c r="E65" s="884"/>
      <c r="F65" s="822"/>
      <c r="G65" s="984"/>
      <c r="H65" s="984"/>
      <c r="I65" s="876">
        <v>16320</v>
      </c>
      <c r="J65" s="798"/>
      <c r="K65" s="798"/>
      <c r="L65" s="795">
        <f t="shared" ref="L65" si="82">I65</f>
        <v>16320</v>
      </c>
      <c r="M65" s="798"/>
      <c r="N65" s="798"/>
      <c r="O65" s="783">
        <f t="shared" ref="O65" si="83">L65</f>
        <v>16320</v>
      </c>
      <c r="P65" s="795">
        <f t="shared" ref="P65" si="84">M65</f>
        <v>0</v>
      </c>
      <c r="Q65" s="795">
        <f t="shared" ref="Q65" si="85">N65</f>
        <v>0</v>
      </c>
      <c r="R65" s="783">
        <f>SUM(O65:Q67)</f>
        <v>16320</v>
      </c>
      <c r="S65" s="786">
        <f>R65</f>
        <v>16320</v>
      </c>
      <c r="T65" s="287">
        <v>11234</v>
      </c>
      <c r="U65" s="783">
        <f>S65-T65-T66-T67</f>
        <v>5086</v>
      </c>
      <c r="V65" s="789">
        <f t="shared" ref="V65" si="86">S65*0.85</f>
        <v>13872</v>
      </c>
      <c r="W65" s="287">
        <f>T65*0.85</f>
        <v>9548.9</v>
      </c>
      <c r="X65" s="783">
        <f>V65-W65-W66-W67</f>
        <v>4323.1000000000004</v>
      </c>
      <c r="Y65" s="783">
        <f t="shared" ref="Y65" si="87">S65*0.17/1.065</f>
        <v>2605.0704225352115</v>
      </c>
      <c r="Z65" s="287"/>
      <c r="AA65" s="287"/>
      <c r="AB65" s="783">
        <f t="shared" ref="AB65" si="88">V65*0.2/1.065</f>
        <v>2605.0704225352115</v>
      </c>
      <c r="AC65" s="287"/>
      <c r="AD65" s="287"/>
      <c r="AE65" s="278"/>
      <c r="AF65" s="278"/>
      <c r="AG65" s="290"/>
      <c r="AH65" s="792">
        <f>V65-Y65-AB65-AG65-AG66-AG67</f>
        <v>8661.8591549295779</v>
      </c>
      <c r="AI65" s="774"/>
      <c r="AJ65" s="43"/>
    </row>
    <row r="66" spans="1:36" ht="24.95" customHeight="1" x14ac:dyDescent="0.2">
      <c r="A66" s="947"/>
      <c r="B66" s="881"/>
      <c r="C66" s="942"/>
      <c r="D66" s="821"/>
      <c r="E66" s="884"/>
      <c r="F66" s="822"/>
      <c r="G66" s="984"/>
      <c r="H66" s="984"/>
      <c r="I66" s="877"/>
      <c r="J66" s="799"/>
      <c r="K66" s="799"/>
      <c r="L66" s="796"/>
      <c r="M66" s="799"/>
      <c r="N66" s="799"/>
      <c r="O66" s="784"/>
      <c r="P66" s="796"/>
      <c r="Q66" s="796"/>
      <c r="R66" s="784"/>
      <c r="S66" s="787"/>
      <c r="T66" s="287">
        <v>0</v>
      </c>
      <c r="U66" s="784"/>
      <c r="V66" s="790"/>
      <c r="W66" s="287"/>
      <c r="X66" s="784"/>
      <c r="Y66" s="784"/>
      <c r="Z66" s="287"/>
      <c r="AA66" s="287"/>
      <c r="AB66" s="784"/>
      <c r="AC66" s="287"/>
      <c r="AD66" s="287"/>
      <c r="AE66" s="278"/>
      <c r="AF66" s="278"/>
      <c r="AG66" s="290"/>
      <c r="AH66" s="793"/>
      <c r="AI66" s="775"/>
      <c r="AJ66" s="43"/>
    </row>
    <row r="67" spans="1:36" ht="24.95" customHeight="1" x14ac:dyDescent="0.2">
      <c r="A67" s="947"/>
      <c r="B67" s="881"/>
      <c r="C67" s="942"/>
      <c r="D67" s="880"/>
      <c r="E67" s="884"/>
      <c r="F67" s="822"/>
      <c r="G67" s="984"/>
      <c r="H67" s="984"/>
      <c r="I67" s="878"/>
      <c r="J67" s="800"/>
      <c r="K67" s="800"/>
      <c r="L67" s="797"/>
      <c r="M67" s="800"/>
      <c r="N67" s="800"/>
      <c r="O67" s="785"/>
      <c r="P67" s="797"/>
      <c r="Q67" s="797"/>
      <c r="R67" s="785"/>
      <c r="S67" s="788"/>
      <c r="T67" s="287">
        <v>0</v>
      </c>
      <c r="U67" s="785"/>
      <c r="V67" s="791"/>
      <c r="W67" s="287"/>
      <c r="X67" s="785"/>
      <c r="Y67" s="785"/>
      <c r="Z67" s="287"/>
      <c r="AA67" s="287"/>
      <c r="AB67" s="785"/>
      <c r="AC67" s="287"/>
      <c r="AD67" s="287"/>
      <c r="AE67" s="278"/>
      <c r="AF67" s="278"/>
      <c r="AG67" s="290"/>
      <c r="AH67" s="794"/>
      <c r="AI67" s="776"/>
      <c r="AJ67" s="43"/>
    </row>
    <row r="68" spans="1:36" ht="24.95" customHeight="1" x14ac:dyDescent="0.2">
      <c r="A68" s="947"/>
      <c r="B68" s="881"/>
      <c r="C68" s="942"/>
      <c r="D68" s="821" t="s">
        <v>961</v>
      </c>
      <c r="E68" s="884"/>
      <c r="F68" s="822"/>
      <c r="G68" s="984"/>
      <c r="H68" s="984"/>
      <c r="I68" s="876">
        <v>18022</v>
      </c>
      <c r="J68" s="798"/>
      <c r="K68" s="798"/>
      <c r="L68" s="795">
        <f>I68</f>
        <v>18022</v>
      </c>
      <c r="M68" s="798"/>
      <c r="N68" s="798"/>
      <c r="O68" s="783">
        <f t="shared" ref="O68" si="89">L68</f>
        <v>18022</v>
      </c>
      <c r="P68" s="795">
        <f t="shared" ref="P68" si="90">M68</f>
        <v>0</v>
      </c>
      <c r="Q68" s="795">
        <f t="shared" ref="Q68" si="91">N68</f>
        <v>0</v>
      </c>
      <c r="R68" s="783">
        <f>SUM(O68:Q70)</f>
        <v>18022</v>
      </c>
      <c r="S68" s="786">
        <f>R68</f>
        <v>18022</v>
      </c>
      <c r="T68" s="287">
        <v>0</v>
      </c>
      <c r="U68" s="783">
        <f>S68-T68-T69-T70</f>
        <v>18022</v>
      </c>
      <c r="V68" s="789">
        <f t="shared" ref="V68" si="92">S68*0.85</f>
        <v>15318.699999999999</v>
      </c>
      <c r="W68" s="287"/>
      <c r="X68" s="783">
        <f>V68-W68-W69-W70</f>
        <v>15318.699999999999</v>
      </c>
      <c r="Y68" s="783">
        <f t="shared" ref="Y68" si="93">S68*0.17/1.065</f>
        <v>2876.7511737089208</v>
      </c>
      <c r="Z68" s="287"/>
      <c r="AA68" s="287"/>
      <c r="AB68" s="783">
        <f t="shared" ref="AB68" si="94">V68*0.2/1.065</f>
        <v>2876.7511737089203</v>
      </c>
      <c r="AC68" s="287"/>
      <c r="AD68" s="287"/>
      <c r="AE68" s="278"/>
      <c r="AF68" s="278"/>
      <c r="AG68" s="290"/>
      <c r="AH68" s="792">
        <f>V68-Y68-AB68-AG68-AG69-AG70</f>
        <v>9565.1976525821574</v>
      </c>
      <c r="AI68" s="774"/>
      <c r="AJ68" s="43"/>
    </row>
    <row r="69" spans="1:36" ht="24.95" customHeight="1" x14ac:dyDescent="0.2">
      <c r="A69" s="947"/>
      <c r="B69" s="881"/>
      <c r="C69" s="942"/>
      <c r="D69" s="821"/>
      <c r="E69" s="884"/>
      <c r="F69" s="822"/>
      <c r="G69" s="984"/>
      <c r="H69" s="984"/>
      <c r="I69" s="877"/>
      <c r="J69" s="799"/>
      <c r="K69" s="799"/>
      <c r="L69" s="796"/>
      <c r="M69" s="799"/>
      <c r="N69" s="799"/>
      <c r="O69" s="784"/>
      <c r="P69" s="796"/>
      <c r="Q69" s="796"/>
      <c r="R69" s="784"/>
      <c r="S69" s="787"/>
      <c r="T69" s="287">
        <v>0</v>
      </c>
      <c r="U69" s="784"/>
      <c r="V69" s="790"/>
      <c r="W69" s="287"/>
      <c r="X69" s="784"/>
      <c r="Y69" s="784"/>
      <c r="Z69" s="287"/>
      <c r="AA69" s="287"/>
      <c r="AB69" s="784"/>
      <c r="AC69" s="287"/>
      <c r="AD69" s="287"/>
      <c r="AE69" s="278"/>
      <c r="AF69" s="278"/>
      <c r="AG69" s="290"/>
      <c r="AH69" s="793"/>
      <c r="AI69" s="775"/>
      <c r="AJ69" s="43"/>
    </row>
    <row r="70" spans="1:36" ht="24.95" customHeight="1" x14ac:dyDescent="0.2">
      <c r="A70" s="947"/>
      <c r="B70" s="881"/>
      <c r="C70" s="942"/>
      <c r="D70" s="880"/>
      <c r="E70" s="884"/>
      <c r="F70" s="822"/>
      <c r="G70" s="984"/>
      <c r="H70" s="984"/>
      <c r="I70" s="878"/>
      <c r="J70" s="800"/>
      <c r="K70" s="800"/>
      <c r="L70" s="797"/>
      <c r="M70" s="800"/>
      <c r="N70" s="800"/>
      <c r="O70" s="785"/>
      <c r="P70" s="797"/>
      <c r="Q70" s="797"/>
      <c r="R70" s="785"/>
      <c r="S70" s="788"/>
      <c r="T70" s="287">
        <v>0</v>
      </c>
      <c r="U70" s="785"/>
      <c r="V70" s="791"/>
      <c r="W70" s="287"/>
      <c r="X70" s="785"/>
      <c r="Y70" s="785"/>
      <c r="Z70" s="287"/>
      <c r="AA70" s="287"/>
      <c r="AB70" s="785"/>
      <c r="AC70" s="287"/>
      <c r="AD70" s="287"/>
      <c r="AE70" s="278"/>
      <c r="AF70" s="278"/>
      <c r="AG70" s="290"/>
      <c r="AH70" s="794"/>
      <c r="AI70" s="776"/>
      <c r="AJ70" s="43"/>
    </row>
    <row r="71" spans="1:36" ht="24.95" customHeight="1" x14ac:dyDescent="0.2">
      <c r="A71" s="947"/>
      <c r="B71" s="881"/>
      <c r="C71" s="942"/>
      <c r="D71" s="821" t="s">
        <v>962</v>
      </c>
      <c r="E71" s="884"/>
      <c r="F71" s="822"/>
      <c r="G71" s="984"/>
      <c r="H71" s="984"/>
      <c r="I71" s="876">
        <v>4569</v>
      </c>
      <c r="J71" s="798"/>
      <c r="K71" s="798"/>
      <c r="L71" s="795">
        <f t="shared" ref="L71" si="95">I71</f>
        <v>4569</v>
      </c>
      <c r="M71" s="798"/>
      <c r="N71" s="798"/>
      <c r="O71" s="783">
        <f t="shared" ref="O71" si="96">L71</f>
        <v>4569</v>
      </c>
      <c r="P71" s="795">
        <f t="shared" ref="P71" si="97">M71</f>
        <v>0</v>
      </c>
      <c r="Q71" s="795">
        <f t="shared" ref="Q71" si="98">N71</f>
        <v>0</v>
      </c>
      <c r="R71" s="783">
        <f>SUM(O71:Q73)</f>
        <v>4569</v>
      </c>
      <c r="S71" s="786">
        <f>R71</f>
        <v>4569</v>
      </c>
      <c r="T71" s="287">
        <v>0</v>
      </c>
      <c r="U71" s="783">
        <f>S71-T71-T72-T73</f>
        <v>4569</v>
      </c>
      <c r="V71" s="789">
        <f t="shared" ref="V71" si="99">S71*0.85</f>
        <v>3883.65</v>
      </c>
      <c r="W71" s="287"/>
      <c r="X71" s="783">
        <f>V71-W71-W72-W73</f>
        <v>3883.65</v>
      </c>
      <c r="Y71" s="783">
        <f t="shared" ref="Y71" si="100">S71*0.17/1.065</f>
        <v>729.32394366197184</v>
      </c>
      <c r="Z71" s="287"/>
      <c r="AA71" s="287"/>
      <c r="AB71" s="783">
        <f t="shared" ref="AB71" si="101">V71*0.2/1.065</f>
        <v>729.32394366197184</v>
      </c>
      <c r="AC71" s="287"/>
      <c r="AD71" s="287"/>
      <c r="AE71" s="278"/>
      <c r="AF71" s="278"/>
      <c r="AG71" s="290"/>
      <c r="AH71" s="792">
        <f>V71-Y71-AB71-AG71-AG72-AG73</f>
        <v>2425.0021126760562</v>
      </c>
      <c r="AI71" s="774"/>
      <c r="AJ71" s="43"/>
    </row>
    <row r="72" spans="1:36" ht="24.95" customHeight="1" x14ac:dyDescent="0.2">
      <c r="A72" s="947"/>
      <c r="B72" s="881"/>
      <c r="C72" s="942"/>
      <c r="D72" s="821"/>
      <c r="E72" s="884"/>
      <c r="F72" s="822"/>
      <c r="G72" s="984"/>
      <c r="H72" s="984"/>
      <c r="I72" s="877"/>
      <c r="J72" s="799"/>
      <c r="K72" s="799"/>
      <c r="L72" s="796"/>
      <c r="M72" s="799"/>
      <c r="N72" s="799"/>
      <c r="O72" s="784"/>
      <c r="P72" s="796"/>
      <c r="Q72" s="796"/>
      <c r="R72" s="784"/>
      <c r="S72" s="787"/>
      <c r="T72" s="287">
        <v>0</v>
      </c>
      <c r="U72" s="784"/>
      <c r="V72" s="790"/>
      <c r="W72" s="287"/>
      <c r="X72" s="784"/>
      <c r="Y72" s="784"/>
      <c r="Z72" s="287"/>
      <c r="AA72" s="287"/>
      <c r="AB72" s="784"/>
      <c r="AC72" s="287"/>
      <c r="AD72" s="287"/>
      <c r="AE72" s="278"/>
      <c r="AF72" s="278"/>
      <c r="AG72" s="290"/>
      <c r="AH72" s="793"/>
      <c r="AI72" s="775"/>
      <c r="AJ72" s="43"/>
    </row>
    <row r="73" spans="1:36" ht="24.95" customHeight="1" x14ac:dyDescent="0.2">
      <c r="A73" s="947"/>
      <c r="B73" s="881"/>
      <c r="C73" s="942"/>
      <c r="D73" s="880"/>
      <c r="E73" s="884"/>
      <c r="F73" s="822"/>
      <c r="G73" s="984"/>
      <c r="H73" s="984"/>
      <c r="I73" s="878"/>
      <c r="J73" s="800"/>
      <c r="K73" s="800"/>
      <c r="L73" s="797"/>
      <c r="M73" s="800"/>
      <c r="N73" s="800"/>
      <c r="O73" s="785"/>
      <c r="P73" s="797"/>
      <c r="Q73" s="797"/>
      <c r="R73" s="785"/>
      <c r="S73" s="788"/>
      <c r="T73" s="287">
        <v>0</v>
      </c>
      <c r="U73" s="785"/>
      <c r="V73" s="791"/>
      <c r="W73" s="287"/>
      <c r="X73" s="785"/>
      <c r="Y73" s="785"/>
      <c r="Z73" s="287"/>
      <c r="AA73" s="287"/>
      <c r="AB73" s="785"/>
      <c r="AC73" s="287"/>
      <c r="AD73" s="287"/>
      <c r="AE73" s="278"/>
      <c r="AF73" s="278"/>
      <c r="AG73" s="290"/>
      <c r="AH73" s="794"/>
      <c r="AI73" s="776"/>
      <c r="AJ73" s="43"/>
    </row>
    <row r="74" spans="1:36" ht="24.95" customHeight="1" x14ac:dyDescent="0.2">
      <c r="A74" s="947"/>
      <c r="B74" s="881"/>
      <c r="C74" s="942"/>
      <c r="D74" s="821" t="s">
        <v>963</v>
      </c>
      <c r="E74" s="884"/>
      <c r="F74" s="822"/>
      <c r="G74" s="984"/>
      <c r="H74" s="984"/>
      <c r="I74" s="876">
        <v>4678</v>
      </c>
      <c r="J74" s="798"/>
      <c r="K74" s="798"/>
      <c r="L74" s="795">
        <f t="shared" ref="L74" si="102">I74</f>
        <v>4678</v>
      </c>
      <c r="M74" s="798"/>
      <c r="N74" s="798"/>
      <c r="O74" s="783">
        <f t="shared" ref="O74" si="103">L74</f>
        <v>4678</v>
      </c>
      <c r="P74" s="795">
        <f t="shared" ref="P74" si="104">M74</f>
        <v>0</v>
      </c>
      <c r="Q74" s="795">
        <f t="shared" ref="Q74" si="105">N74</f>
        <v>0</v>
      </c>
      <c r="R74" s="783">
        <f>SUM(O74:Q76)</f>
        <v>4678</v>
      </c>
      <c r="S74" s="786">
        <f>R74</f>
        <v>4678</v>
      </c>
      <c r="T74" s="287">
        <v>0</v>
      </c>
      <c r="U74" s="783">
        <f>S74-T74-T75-T76</f>
        <v>4678</v>
      </c>
      <c r="V74" s="789">
        <f t="shared" ref="V74" si="106">S74*0.85</f>
        <v>3976.2999999999997</v>
      </c>
      <c r="W74" s="287"/>
      <c r="X74" s="783">
        <f>V74-W74-W75-W76</f>
        <v>3976.2999999999997</v>
      </c>
      <c r="Y74" s="783">
        <f t="shared" ref="Y74" si="107">S74*0.17/1.065</f>
        <v>746.72300469483582</v>
      </c>
      <c r="Z74" s="287"/>
      <c r="AA74" s="287"/>
      <c r="AB74" s="783">
        <f t="shared" ref="AB74" si="108">V74*0.2/1.065</f>
        <v>746.72300469483571</v>
      </c>
      <c r="AC74" s="287"/>
      <c r="AD74" s="287"/>
      <c r="AE74" s="278"/>
      <c r="AF74" s="278"/>
      <c r="AG74" s="290"/>
      <c r="AH74" s="792">
        <f>V74-Y74-AB74-AG74-AG75-AG76</f>
        <v>2482.8539906103283</v>
      </c>
      <c r="AI74" s="774"/>
      <c r="AJ74" s="43"/>
    </row>
    <row r="75" spans="1:36" ht="24.95" customHeight="1" x14ac:dyDescent="0.2">
      <c r="A75" s="947"/>
      <c r="B75" s="881"/>
      <c r="C75" s="942"/>
      <c r="D75" s="821"/>
      <c r="E75" s="884"/>
      <c r="F75" s="822"/>
      <c r="G75" s="984"/>
      <c r="H75" s="984"/>
      <c r="I75" s="877"/>
      <c r="J75" s="799"/>
      <c r="K75" s="799"/>
      <c r="L75" s="796"/>
      <c r="M75" s="799"/>
      <c r="N75" s="799"/>
      <c r="O75" s="784"/>
      <c r="P75" s="796"/>
      <c r="Q75" s="796"/>
      <c r="R75" s="784"/>
      <c r="S75" s="787"/>
      <c r="T75" s="287">
        <v>0</v>
      </c>
      <c r="U75" s="784"/>
      <c r="V75" s="790"/>
      <c r="W75" s="287"/>
      <c r="X75" s="784"/>
      <c r="Y75" s="784"/>
      <c r="Z75" s="287"/>
      <c r="AA75" s="287"/>
      <c r="AB75" s="784"/>
      <c r="AC75" s="287"/>
      <c r="AD75" s="287"/>
      <c r="AE75" s="278"/>
      <c r="AF75" s="278"/>
      <c r="AG75" s="290"/>
      <c r="AH75" s="793"/>
      <c r="AI75" s="775"/>
      <c r="AJ75" s="43"/>
    </row>
    <row r="76" spans="1:36" ht="24.95" customHeight="1" x14ac:dyDescent="0.2">
      <c r="A76" s="947"/>
      <c r="B76" s="881"/>
      <c r="C76" s="942"/>
      <c r="D76" s="880"/>
      <c r="E76" s="884"/>
      <c r="F76" s="822"/>
      <c r="G76" s="984"/>
      <c r="H76" s="984"/>
      <c r="I76" s="878"/>
      <c r="J76" s="800"/>
      <c r="K76" s="800"/>
      <c r="L76" s="797"/>
      <c r="M76" s="800"/>
      <c r="N76" s="800"/>
      <c r="O76" s="785"/>
      <c r="P76" s="797"/>
      <c r="Q76" s="797"/>
      <c r="R76" s="785"/>
      <c r="S76" s="788"/>
      <c r="T76" s="287">
        <v>0</v>
      </c>
      <c r="U76" s="785"/>
      <c r="V76" s="791"/>
      <c r="W76" s="287"/>
      <c r="X76" s="785"/>
      <c r="Y76" s="785"/>
      <c r="Z76" s="287"/>
      <c r="AA76" s="287"/>
      <c r="AB76" s="785"/>
      <c r="AC76" s="287"/>
      <c r="AD76" s="287"/>
      <c r="AE76" s="278"/>
      <c r="AF76" s="278"/>
      <c r="AG76" s="290"/>
      <c r="AH76" s="794"/>
      <c r="AI76" s="776"/>
      <c r="AJ76" s="43"/>
    </row>
    <row r="77" spans="1:36" ht="24.95" customHeight="1" x14ac:dyDescent="0.2">
      <c r="A77" s="944">
        <v>9</v>
      </c>
      <c r="B77" s="880" t="s">
        <v>912</v>
      </c>
      <c r="C77" s="941">
        <v>2024.5</v>
      </c>
      <c r="D77" s="821" t="s">
        <v>917</v>
      </c>
      <c r="E77" s="968" t="s">
        <v>222</v>
      </c>
      <c r="F77" s="895" t="s">
        <v>915</v>
      </c>
      <c r="G77" s="270" t="s">
        <v>651</v>
      </c>
      <c r="H77" s="270" t="s">
        <v>1023</v>
      </c>
      <c r="I77" s="876"/>
      <c r="J77" s="795"/>
      <c r="K77" s="795"/>
      <c r="L77" s="795"/>
      <c r="M77" s="795"/>
      <c r="N77" s="795"/>
      <c r="O77" s="783">
        <f t="shared" ref="O77:Q77" si="109">L77</f>
        <v>0</v>
      </c>
      <c r="P77" s="795">
        <f t="shared" si="109"/>
        <v>0</v>
      </c>
      <c r="Q77" s="795">
        <f t="shared" si="109"/>
        <v>0</v>
      </c>
      <c r="R77" s="783">
        <f>SUM(O77:Q79)</f>
        <v>0</v>
      </c>
      <c r="S77" s="786">
        <f>R77</f>
        <v>0</v>
      </c>
      <c r="T77" s="287">
        <v>0</v>
      </c>
      <c r="U77" s="783">
        <f>S77-T77-T78-T79</f>
        <v>0</v>
      </c>
      <c r="V77" s="789">
        <f>S77*0.8</f>
        <v>0</v>
      </c>
      <c r="W77" s="287"/>
      <c r="X77" s="783">
        <f>V77-W77-W78-W79</f>
        <v>0</v>
      </c>
      <c r="Y77" s="783">
        <f t="shared" ref="Y77" si="110">S77*0.17/1.065</f>
        <v>0</v>
      </c>
      <c r="Z77" s="287"/>
      <c r="AA77" s="287"/>
      <c r="AB77" s="783">
        <f t="shared" ref="AB77" si="111">V77*0.2/1.065</f>
        <v>0</v>
      </c>
      <c r="AC77" s="287"/>
      <c r="AD77" s="287"/>
      <c r="AE77" s="278"/>
      <c r="AF77" s="278"/>
      <c r="AG77" s="290"/>
      <c r="AH77" s="792">
        <f>V77-Y77-AB77-AG77-AG78-AG79</f>
        <v>0</v>
      </c>
      <c r="AI77" s="774"/>
      <c r="AJ77" s="43"/>
    </row>
    <row r="78" spans="1:36" ht="24.95" customHeight="1" x14ac:dyDescent="0.2">
      <c r="A78" s="947"/>
      <c r="B78" s="881"/>
      <c r="C78" s="942"/>
      <c r="D78" s="821"/>
      <c r="E78" s="969"/>
      <c r="F78" s="896"/>
      <c r="G78" s="270" t="s">
        <v>817</v>
      </c>
      <c r="H78" s="270"/>
      <c r="I78" s="877"/>
      <c r="J78" s="796"/>
      <c r="K78" s="796"/>
      <c r="L78" s="796"/>
      <c r="M78" s="796"/>
      <c r="N78" s="796"/>
      <c r="O78" s="784"/>
      <c r="P78" s="796"/>
      <c r="Q78" s="796"/>
      <c r="R78" s="784"/>
      <c r="S78" s="787"/>
      <c r="T78" s="287">
        <v>0</v>
      </c>
      <c r="U78" s="784"/>
      <c r="V78" s="790"/>
      <c r="W78" s="287"/>
      <c r="X78" s="784"/>
      <c r="Y78" s="784"/>
      <c r="Z78" s="287"/>
      <c r="AA78" s="287"/>
      <c r="AB78" s="784"/>
      <c r="AC78" s="287"/>
      <c r="AD78" s="287"/>
      <c r="AE78" s="278"/>
      <c r="AF78" s="278"/>
      <c r="AG78" s="290"/>
      <c r="AH78" s="793"/>
      <c r="AI78" s="775"/>
      <c r="AJ78" s="43"/>
    </row>
    <row r="79" spans="1:36" ht="24.95" customHeight="1" x14ac:dyDescent="0.2">
      <c r="A79" s="947"/>
      <c r="B79" s="881"/>
      <c r="C79" s="942"/>
      <c r="D79" s="880"/>
      <c r="E79" s="969"/>
      <c r="F79" s="896"/>
      <c r="G79" s="270" t="s">
        <v>818</v>
      </c>
      <c r="H79" s="270" t="s">
        <v>639</v>
      </c>
      <c r="I79" s="878"/>
      <c r="J79" s="797"/>
      <c r="K79" s="797"/>
      <c r="L79" s="797"/>
      <c r="M79" s="797"/>
      <c r="N79" s="797"/>
      <c r="O79" s="785"/>
      <c r="P79" s="797"/>
      <c r="Q79" s="797"/>
      <c r="R79" s="785"/>
      <c r="S79" s="788"/>
      <c r="T79" s="287">
        <v>0</v>
      </c>
      <c r="U79" s="785"/>
      <c r="V79" s="791"/>
      <c r="W79" s="287"/>
      <c r="X79" s="785"/>
      <c r="Y79" s="785"/>
      <c r="Z79" s="287"/>
      <c r="AA79" s="287"/>
      <c r="AB79" s="785"/>
      <c r="AC79" s="287"/>
      <c r="AD79" s="287"/>
      <c r="AE79" s="278"/>
      <c r="AF79" s="278"/>
      <c r="AG79" s="290"/>
      <c r="AH79" s="794"/>
      <c r="AI79" s="776"/>
      <c r="AJ79" s="43"/>
    </row>
    <row r="80" spans="1:36" ht="24.95" customHeight="1" x14ac:dyDescent="0.2">
      <c r="A80" s="947"/>
      <c r="B80" s="881"/>
      <c r="C80" s="942"/>
      <c r="D80" s="821" t="s">
        <v>916</v>
      </c>
      <c r="E80" s="969"/>
      <c r="F80" s="896"/>
      <c r="G80" s="885"/>
      <c r="H80" s="886"/>
      <c r="I80" s="876"/>
      <c r="J80" s="795"/>
      <c r="K80" s="795"/>
      <c r="L80" s="795"/>
      <c r="M80" s="795"/>
      <c r="N80" s="795"/>
      <c r="O80" s="783">
        <f t="shared" ref="O80:Q80" si="112">L80</f>
        <v>0</v>
      </c>
      <c r="P80" s="795">
        <f t="shared" si="112"/>
        <v>0</v>
      </c>
      <c r="Q80" s="795">
        <f t="shared" si="112"/>
        <v>0</v>
      </c>
      <c r="R80" s="783">
        <f>SUM(O80:Q82)</f>
        <v>0</v>
      </c>
      <c r="S80" s="786">
        <f>R80</f>
        <v>0</v>
      </c>
      <c r="T80" s="287">
        <v>0</v>
      </c>
      <c r="U80" s="783">
        <f>S80-T80-T81-T82</f>
        <v>0</v>
      </c>
      <c r="V80" s="789">
        <f>S80*0.8</f>
        <v>0</v>
      </c>
      <c r="W80" s="287"/>
      <c r="X80" s="783">
        <f>V80-W80-W81-W82</f>
        <v>0</v>
      </c>
      <c r="Y80" s="783">
        <f t="shared" ref="Y80" si="113">S80*0.17/1.065</f>
        <v>0</v>
      </c>
      <c r="Z80" s="287"/>
      <c r="AA80" s="287"/>
      <c r="AB80" s="783">
        <f t="shared" ref="AB80" si="114">V80*0.2/1.065</f>
        <v>0</v>
      </c>
      <c r="AC80" s="287"/>
      <c r="AD80" s="287"/>
      <c r="AE80" s="278"/>
      <c r="AF80" s="278"/>
      <c r="AG80" s="290"/>
      <c r="AH80" s="792">
        <f>V80-Y80-AB80-AG80-AG81-AG82</f>
        <v>0</v>
      </c>
      <c r="AI80" s="774"/>
      <c r="AJ80" s="43"/>
    </row>
    <row r="81" spans="1:36" ht="24.95" customHeight="1" x14ac:dyDescent="0.2">
      <c r="A81" s="947"/>
      <c r="B81" s="881"/>
      <c r="C81" s="942"/>
      <c r="D81" s="821"/>
      <c r="E81" s="969"/>
      <c r="F81" s="896"/>
      <c r="G81" s="887"/>
      <c r="H81" s="888"/>
      <c r="I81" s="877"/>
      <c r="J81" s="796"/>
      <c r="K81" s="796"/>
      <c r="L81" s="796"/>
      <c r="M81" s="796"/>
      <c r="N81" s="796"/>
      <c r="O81" s="784"/>
      <c r="P81" s="796"/>
      <c r="Q81" s="796"/>
      <c r="R81" s="784"/>
      <c r="S81" s="787"/>
      <c r="T81" s="287">
        <v>0</v>
      </c>
      <c r="U81" s="784"/>
      <c r="V81" s="790"/>
      <c r="W81" s="287"/>
      <c r="X81" s="784"/>
      <c r="Y81" s="784"/>
      <c r="Z81" s="287"/>
      <c r="AA81" s="287"/>
      <c r="AB81" s="784"/>
      <c r="AC81" s="287"/>
      <c r="AD81" s="287"/>
      <c r="AE81" s="278"/>
      <c r="AF81" s="278"/>
      <c r="AG81" s="290"/>
      <c r="AH81" s="793"/>
      <c r="AI81" s="775"/>
      <c r="AJ81" s="43"/>
    </row>
    <row r="82" spans="1:36" ht="24.95" customHeight="1" x14ac:dyDescent="0.2">
      <c r="A82" s="948"/>
      <c r="B82" s="882"/>
      <c r="C82" s="943"/>
      <c r="D82" s="880"/>
      <c r="E82" s="970"/>
      <c r="F82" s="897"/>
      <c r="G82" s="889"/>
      <c r="H82" s="890"/>
      <c r="I82" s="878"/>
      <c r="J82" s="797"/>
      <c r="K82" s="797"/>
      <c r="L82" s="797"/>
      <c r="M82" s="797"/>
      <c r="N82" s="797"/>
      <c r="O82" s="785"/>
      <c r="P82" s="797"/>
      <c r="Q82" s="797"/>
      <c r="R82" s="785"/>
      <c r="S82" s="788"/>
      <c r="T82" s="287">
        <v>0</v>
      </c>
      <c r="U82" s="785"/>
      <c r="V82" s="791"/>
      <c r="W82" s="287"/>
      <c r="X82" s="785"/>
      <c r="Y82" s="785"/>
      <c r="Z82" s="287"/>
      <c r="AA82" s="287"/>
      <c r="AB82" s="785"/>
      <c r="AC82" s="287"/>
      <c r="AD82" s="287"/>
      <c r="AE82" s="278"/>
      <c r="AF82" s="278"/>
      <c r="AG82" s="290"/>
      <c r="AH82" s="794"/>
      <c r="AI82" s="776"/>
      <c r="AJ82" s="43"/>
    </row>
    <row r="83" spans="1:36" ht="24.95" customHeight="1" x14ac:dyDescent="0.2">
      <c r="A83" s="944">
        <v>10</v>
      </c>
      <c r="B83" s="880" t="s">
        <v>997</v>
      </c>
      <c r="C83" s="941">
        <v>2024.6</v>
      </c>
      <c r="D83" s="821" t="s">
        <v>929</v>
      </c>
      <c r="E83" s="884" t="s">
        <v>930</v>
      </c>
      <c r="F83" s="822" t="s">
        <v>931</v>
      </c>
      <c r="G83" s="270" t="s">
        <v>651</v>
      </c>
      <c r="H83" s="270" t="s">
        <v>933</v>
      </c>
      <c r="I83" s="798"/>
      <c r="J83" s="798"/>
      <c r="K83" s="795">
        <v>80000</v>
      </c>
      <c r="L83" s="798"/>
      <c r="M83" s="798"/>
      <c r="N83" s="795">
        <f>K83</f>
        <v>80000</v>
      </c>
      <c r="O83" s="783">
        <f t="shared" ref="O83:Q83" si="115">L83</f>
        <v>0</v>
      </c>
      <c r="P83" s="795">
        <f t="shared" si="115"/>
        <v>0</v>
      </c>
      <c r="Q83" s="795">
        <f t="shared" si="115"/>
        <v>80000</v>
      </c>
      <c r="R83" s="783">
        <f>SUM(O83:Q85)</f>
        <v>80000</v>
      </c>
      <c r="S83" s="786">
        <f>R83</f>
        <v>80000</v>
      </c>
      <c r="T83" s="287">
        <v>0</v>
      </c>
      <c r="U83" s="783">
        <f>S83-T83-T84-T85</f>
        <v>80000</v>
      </c>
      <c r="V83" s="789">
        <f>S83*0.8</f>
        <v>64000</v>
      </c>
      <c r="W83" s="287"/>
      <c r="X83" s="783">
        <f>V83-W83-W84-W85</f>
        <v>64000</v>
      </c>
      <c r="Y83" s="783">
        <f t="shared" ref="Y83" si="116">S83*0.17/1.065</f>
        <v>12769.953051643195</v>
      </c>
      <c r="Z83" s="287"/>
      <c r="AA83" s="287"/>
      <c r="AB83" s="783">
        <f t="shared" ref="AB83" si="117">V83*0.2/1.065</f>
        <v>12018.779342723004</v>
      </c>
      <c r="AC83" s="287"/>
      <c r="AD83" s="287"/>
      <c r="AE83" s="278"/>
      <c r="AF83" s="278"/>
      <c r="AG83" s="290"/>
      <c r="AH83" s="792">
        <f>V83-Y83-AB83-AG83-AG84-AG85</f>
        <v>39211.267605633795</v>
      </c>
      <c r="AI83" s="774"/>
      <c r="AJ83" s="43"/>
    </row>
    <row r="84" spans="1:36" ht="24.95" customHeight="1" x14ac:dyDescent="0.2">
      <c r="A84" s="947"/>
      <c r="B84" s="881"/>
      <c r="C84" s="942"/>
      <c r="D84" s="821"/>
      <c r="E84" s="884"/>
      <c r="F84" s="822"/>
      <c r="G84" s="270" t="s">
        <v>817</v>
      </c>
      <c r="H84" s="270" t="s">
        <v>932</v>
      </c>
      <c r="I84" s="799"/>
      <c r="J84" s="799"/>
      <c r="K84" s="796"/>
      <c r="L84" s="799"/>
      <c r="M84" s="799"/>
      <c r="N84" s="796"/>
      <c r="O84" s="784"/>
      <c r="P84" s="796"/>
      <c r="Q84" s="796"/>
      <c r="R84" s="784"/>
      <c r="S84" s="787"/>
      <c r="T84" s="287">
        <v>0</v>
      </c>
      <c r="U84" s="784"/>
      <c r="V84" s="790"/>
      <c r="W84" s="287"/>
      <c r="X84" s="784"/>
      <c r="Y84" s="784"/>
      <c r="Z84" s="287"/>
      <c r="AA84" s="287"/>
      <c r="AB84" s="784"/>
      <c r="AC84" s="287"/>
      <c r="AD84" s="287"/>
      <c r="AE84" s="278"/>
      <c r="AF84" s="278"/>
      <c r="AG84" s="290"/>
      <c r="AH84" s="793"/>
      <c r="AI84" s="775"/>
      <c r="AJ84" s="43"/>
    </row>
    <row r="85" spans="1:36" ht="24.95" customHeight="1" x14ac:dyDescent="0.2">
      <c r="A85" s="948"/>
      <c r="B85" s="882"/>
      <c r="C85" s="943"/>
      <c r="D85" s="880"/>
      <c r="E85" s="884"/>
      <c r="F85" s="822"/>
      <c r="G85" s="270" t="s">
        <v>818</v>
      </c>
      <c r="H85" s="270" t="s">
        <v>585</v>
      </c>
      <c r="I85" s="800"/>
      <c r="J85" s="800"/>
      <c r="K85" s="797"/>
      <c r="L85" s="800"/>
      <c r="M85" s="800"/>
      <c r="N85" s="797"/>
      <c r="O85" s="785"/>
      <c r="P85" s="797"/>
      <c r="Q85" s="797"/>
      <c r="R85" s="785"/>
      <c r="S85" s="788"/>
      <c r="T85" s="287">
        <v>0</v>
      </c>
      <c r="U85" s="785"/>
      <c r="V85" s="791"/>
      <c r="W85" s="287"/>
      <c r="X85" s="785"/>
      <c r="Y85" s="785"/>
      <c r="Z85" s="287"/>
      <c r="AA85" s="287"/>
      <c r="AB85" s="785"/>
      <c r="AC85" s="286"/>
      <c r="AD85" s="286"/>
      <c r="AE85" s="279"/>
      <c r="AF85" s="279"/>
      <c r="AG85" s="291"/>
      <c r="AH85" s="794"/>
      <c r="AI85" s="776"/>
      <c r="AJ85" s="43"/>
    </row>
    <row r="86" spans="1:36" ht="24.95" customHeight="1" x14ac:dyDescent="0.2">
      <c r="A86" s="944">
        <v>11</v>
      </c>
      <c r="B86" s="880" t="s">
        <v>938</v>
      </c>
      <c r="C86" s="941">
        <v>2024.6</v>
      </c>
      <c r="D86" s="880" t="s">
        <v>1034</v>
      </c>
      <c r="E86" s="862" t="s">
        <v>930</v>
      </c>
      <c r="F86" s="895" t="s">
        <v>939</v>
      </c>
      <c r="G86" s="270"/>
      <c r="H86" s="270"/>
      <c r="I86" s="876">
        <v>57763</v>
      </c>
      <c r="J86" s="795">
        <v>10193</v>
      </c>
      <c r="K86" s="798"/>
      <c r="L86" s="795">
        <f>I86</f>
        <v>57763</v>
      </c>
      <c r="M86" s="795">
        <f>J86</f>
        <v>10193</v>
      </c>
      <c r="N86" s="798"/>
      <c r="O86" s="783">
        <f t="shared" ref="O86:Q86" si="118">L86</f>
        <v>57763</v>
      </c>
      <c r="P86" s="795">
        <f t="shared" si="118"/>
        <v>10193</v>
      </c>
      <c r="Q86" s="795">
        <f t="shared" si="118"/>
        <v>0</v>
      </c>
      <c r="R86" s="783">
        <f>SUM(O86:Q88)</f>
        <v>67956</v>
      </c>
      <c r="S86" s="786">
        <f>R86</f>
        <v>67956</v>
      </c>
      <c r="T86" s="287">
        <v>0</v>
      </c>
      <c r="U86" s="783">
        <f>S86-T86-T87-T88</f>
        <v>67956</v>
      </c>
      <c r="V86" s="789">
        <f>S86*0.8</f>
        <v>54364.800000000003</v>
      </c>
      <c r="W86" s="287"/>
      <c r="X86" s="783">
        <f>V86-W86-W87-W88</f>
        <v>54364.800000000003</v>
      </c>
      <c r="Y86" s="783">
        <f t="shared" ref="Y86" si="119">S86*0.17/1.065</f>
        <v>10847.436619718312</v>
      </c>
      <c r="Z86" s="287"/>
      <c r="AA86" s="287"/>
      <c r="AB86" s="783">
        <f t="shared" ref="AB86" si="120">V86*0.2/1.065</f>
        <v>10209.352112676057</v>
      </c>
      <c r="AC86" s="287"/>
      <c r="AD86" s="287"/>
      <c r="AE86" s="278" t="s">
        <v>590</v>
      </c>
      <c r="AF86" s="278" t="s">
        <v>749</v>
      </c>
      <c r="AG86" s="290">
        <f>1.71*2000</f>
        <v>3420</v>
      </c>
      <c r="AH86" s="792">
        <f>V86-Y86-AB86-AG86-AG87-AG88</f>
        <v>29288.011267605631</v>
      </c>
      <c r="AI86" s="774"/>
      <c r="AJ86" s="43"/>
    </row>
    <row r="87" spans="1:36" ht="24.95" customHeight="1" x14ac:dyDescent="0.2">
      <c r="A87" s="947"/>
      <c r="B87" s="881"/>
      <c r="C87" s="942"/>
      <c r="D87" s="881"/>
      <c r="E87" s="863"/>
      <c r="F87" s="896"/>
      <c r="G87" s="270"/>
      <c r="H87" s="270"/>
      <c r="I87" s="877"/>
      <c r="J87" s="796"/>
      <c r="K87" s="799"/>
      <c r="L87" s="796"/>
      <c r="M87" s="796"/>
      <c r="N87" s="799"/>
      <c r="O87" s="784"/>
      <c r="P87" s="796"/>
      <c r="Q87" s="796"/>
      <c r="R87" s="784"/>
      <c r="S87" s="787"/>
      <c r="T87" s="287">
        <v>0</v>
      </c>
      <c r="U87" s="784"/>
      <c r="V87" s="790"/>
      <c r="W87" s="287"/>
      <c r="X87" s="784"/>
      <c r="Y87" s="784"/>
      <c r="Z87" s="287"/>
      <c r="AA87" s="287"/>
      <c r="AB87" s="784"/>
      <c r="AC87" s="287"/>
      <c r="AD87" s="287"/>
      <c r="AE87" s="278" t="s">
        <v>590</v>
      </c>
      <c r="AF87" s="278" t="s">
        <v>592</v>
      </c>
      <c r="AG87" s="290">
        <f>4*150</f>
        <v>600</v>
      </c>
      <c r="AH87" s="793"/>
      <c r="AI87" s="775"/>
      <c r="AJ87" s="43"/>
    </row>
    <row r="88" spans="1:36" ht="24.95" customHeight="1" x14ac:dyDescent="0.2">
      <c r="A88" s="947"/>
      <c r="B88" s="881"/>
      <c r="C88" s="942"/>
      <c r="D88" s="882"/>
      <c r="E88" s="863"/>
      <c r="F88" s="896"/>
      <c r="G88" s="270"/>
      <c r="H88" s="270"/>
      <c r="I88" s="878"/>
      <c r="J88" s="797"/>
      <c r="K88" s="800"/>
      <c r="L88" s="797"/>
      <c r="M88" s="797"/>
      <c r="N88" s="800"/>
      <c r="O88" s="785"/>
      <c r="P88" s="797"/>
      <c r="Q88" s="797"/>
      <c r="R88" s="785"/>
      <c r="S88" s="788"/>
      <c r="T88" s="287">
        <v>0</v>
      </c>
      <c r="U88" s="785"/>
      <c r="V88" s="791"/>
      <c r="W88" s="287"/>
      <c r="X88" s="785"/>
      <c r="Y88" s="785"/>
      <c r="Z88" s="287"/>
      <c r="AA88" s="287"/>
      <c r="AB88" s="785"/>
      <c r="AC88" s="287"/>
      <c r="AD88" s="287"/>
      <c r="AE88" s="277"/>
      <c r="AF88" s="277"/>
      <c r="AG88" s="288"/>
      <c r="AH88" s="794"/>
      <c r="AI88" s="776"/>
      <c r="AJ88" s="43"/>
    </row>
    <row r="89" spans="1:36" ht="24.95" customHeight="1" x14ac:dyDescent="0.2">
      <c r="A89" s="947"/>
      <c r="B89" s="881"/>
      <c r="C89" s="942"/>
      <c r="D89" s="880" t="s">
        <v>940</v>
      </c>
      <c r="E89" s="863"/>
      <c r="F89" s="896"/>
      <c r="G89" s="270"/>
      <c r="H89" s="270"/>
      <c r="I89" s="876">
        <v>44592</v>
      </c>
      <c r="J89" s="795">
        <v>7869</v>
      </c>
      <c r="K89" s="798"/>
      <c r="L89" s="795">
        <f t="shared" ref="L89" si="121">I89</f>
        <v>44592</v>
      </c>
      <c r="M89" s="795">
        <f t="shared" ref="M89" si="122">J89</f>
        <v>7869</v>
      </c>
      <c r="N89" s="798"/>
      <c r="O89" s="783">
        <f t="shared" ref="O89:Q89" si="123">L89</f>
        <v>44592</v>
      </c>
      <c r="P89" s="795">
        <f t="shared" si="123"/>
        <v>7869</v>
      </c>
      <c r="Q89" s="795">
        <f t="shared" si="123"/>
        <v>0</v>
      </c>
      <c r="R89" s="783">
        <f>SUM(O89:Q91)</f>
        <v>52461</v>
      </c>
      <c r="S89" s="786">
        <f>R89</f>
        <v>52461</v>
      </c>
      <c r="T89" s="287">
        <v>0</v>
      </c>
      <c r="U89" s="783">
        <f>S89-T89-T90-T91</f>
        <v>52461</v>
      </c>
      <c r="V89" s="789">
        <f>S89*0.8</f>
        <v>41968.800000000003</v>
      </c>
      <c r="W89" s="287"/>
      <c r="X89" s="783">
        <f>V89-W89-W90-W91</f>
        <v>41968.800000000003</v>
      </c>
      <c r="Y89" s="786">
        <v>0</v>
      </c>
      <c r="Z89" s="292"/>
      <c r="AA89" s="292"/>
      <c r="AB89" s="786">
        <v>0</v>
      </c>
      <c r="AC89" s="292"/>
      <c r="AD89" s="292"/>
      <c r="AE89" s="278" t="s">
        <v>590</v>
      </c>
      <c r="AF89" s="278" t="s">
        <v>749</v>
      </c>
      <c r="AG89" s="290">
        <f>0.49*2000</f>
        <v>980</v>
      </c>
      <c r="AH89" s="792">
        <f>V89-Y89-AB89-AG89-AG90-AG91</f>
        <v>40688.800000000003</v>
      </c>
      <c r="AI89" s="774"/>
      <c r="AJ89" s="43"/>
    </row>
    <row r="90" spans="1:36" ht="24.95" customHeight="1" x14ac:dyDescent="0.2">
      <c r="A90" s="947"/>
      <c r="B90" s="881"/>
      <c r="C90" s="942"/>
      <c r="D90" s="881"/>
      <c r="E90" s="863"/>
      <c r="F90" s="896"/>
      <c r="G90" s="270"/>
      <c r="H90" s="270"/>
      <c r="I90" s="877"/>
      <c r="J90" s="796"/>
      <c r="K90" s="799"/>
      <c r="L90" s="796"/>
      <c r="M90" s="796"/>
      <c r="N90" s="799"/>
      <c r="O90" s="784"/>
      <c r="P90" s="796"/>
      <c r="Q90" s="796"/>
      <c r="R90" s="784"/>
      <c r="S90" s="787"/>
      <c r="T90" s="287">
        <v>0</v>
      </c>
      <c r="U90" s="784"/>
      <c r="V90" s="790"/>
      <c r="W90" s="287"/>
      <c r="X90" s="784"/>
      <c r="Y90" s="787"/>
      <c r="Z90" s="292"/>
      <c r="AA90" s="292"/>
      <c r="AB90" s="787"/>
      <c r="AC90" s="292"/>
      <c r="AD90" s="292"/>
      <c r="AE90" s="278" t="s">
        <v>590</v>
      </c>
      <c r="AF90" s="278" t="s">
        <v>592</v>
      </c>
      <c r="AG90" s="290">
        <f>2*150</f>
        <v>300</v>
      </c>
      <c r="AH90" s="793"/>
      <c r="AI90" s="775"/>
      <c r="AJ90" s="43"/>
    </row>
    <row r="91" spans="1:36" ht="24.95" customHeight="1" x14ac:dyDescent="0.2">
      <c r="A91" s="947"/>
      <c r="B91" s="881"/>
      <c r="C91" s="942"/>
      <c r="D91" s="882"/>
      <c r="E91" s="863"/>
      <c r="F91" s="896"/>
      <c r="G91" s="270"/>
      <c r="H91" s="270"/>
      <c r="I91" s="878"/>
      <c r="J91" s="797"/>
      <c r="K91" s="800"/>
      <c r="L91" s="797"/>
      <c r="M91" s="797"/>
      <c r="N91" s="800"/>
      <c r="O91" s="785"/>
      <c r="P91" s="797"/>
      <c r="Q91" s="797"/>
      <c r="R91" s="785"/>
      <c r="S91" s="788"/>
      <c r="T91" s="287">
        <v>0</v>
      </c>
      <c r="U91" s="785"/>
      <c r="V91" s="791"/>
      <c r="W91" s="287"/>
      <c r="X91" s="785"/>
      <c r="Y91" s="788"/>
      <c r="Z91" s="292"/>
      <c r="AA91" s="292"/>
      <c r="AB91" s="788"/>
      <c r="AC91" s="292"/>
      <c r="AD91" s="292"/>
      <c r="AE91" s="277"/>
      <c r="AF91" s="277"/>
      <c r="AG91" s="288"/>
      <c r="AH91" s="794"/>
      <c r="AI91" s="776"/>
      <c r="AJ91" s="43"/>
    </row>
    <row r="92" spans="1:36" ht="24.95" customHeight="1" x14ac:dyDescent="0.2">
      <c r="A92" s="947"/>
      <c r="B92" s="881"/>
      <c r="C92" s="942"/>
      <c r="D92" s="880" t="s">
        <v>1035</v>
      </c>
      <c r="E92" s="863"/>
      <c r="F92" s="896"/>
      <c r="G92" s="270"/>
      <c r="H92" s="270"/>
      <c r="I92" s="876">
        <v>71043</v>
      </c>
      <c r="J92" s="939">
        <v>12537</v>
      </c>
      <c r="K92" s="798"/>
      <c r="L92" s="795">
        <f t="shared" ref="L92" si="124">I92</f>
        <v>71043</v>
      </c>
      <c r="M92" s="795">
        <f t="shared" ref="M92" si="125">J92</f>
        <v>12537</v>
      </c>
      <c r="N92" s="798"/>
      <c r="O92" s="783">
        <f t="shared" ref="O92:Q92" si="126">L92</f>
        <v>71043</v>
      </c>
      <c r="P92" s="795">
        <f t="shared" si="126"/>
        <v>12537</v>
      </c>
      <c r="Q92" s="795">
        <f t="shared" si="126"/>
        <v>0</v>
      </c>
      <c r="R92" s="783">
        <f>SUM(O92:Q94)</f>
        <v>83580</v>
      </c>
      <c r="S92" s="786">
        <f>R92</f>
        <v>83580</v>
      </c>
      <c r="T92" s="287">
        <v>0</v>
      </c>
      <c r="U92" s="783">
        <f>S92-T92-T93-T94</f>
        <v>83580</v>
      </c>
      <c r="V92" s="789">
        <f>S92*0.8</f>
        <v>66864</v>
      </c>
      <c r="W92" s="287"/>
      <c r="X92" s="783">
        <f>V92-W92-W93-W94</f>
        <v>66864</v>
      </c>
      <c r="Y92" s="783">
        <f t="shared" ref="Y92" si="127">S92*0.17/1.065</f>
        <v>13341.408450704226</v>
      </c>
      <c r="Z92" s="287"/>
      <c r="AA92" s="287"/>
      <c r="AB92" s="783">
        <f t="shared" ref="AB92" si="128">V92*0.2/1.065</f>
        <v>12556.619718309861</v>
      </c>
      <c r="AC92" s="287"/>
      <c r="AD92" s="287"/>
      <c r="AE92" s="278" t="s">
        <v>590</v>
      </c>
      <c r="AF92" s="278" t="s">
        <v>749</v>
      </c>
      <c r="AG92" s="290">
        <f>1.693*2000</f>
        <v>3386</v>
      </c>
      <c r="AH92" s="792">
        <f>V92-Y92-AB92-AG92-AG93-AG94</f>
        <v>36529.971830985909</v>
      </c>
      <c r="AI92" s="774"/>
      <c r="AJ92" s="43"/>
    </row>
    <row r="93" spans="1:36" ht="24.95" customHeight="1" x14ac:dyDescent="0.2">
      <c r="A93" s="947"/>
      <c r="B93" s="881"/>
      <c r="C93" s="942"/>
      <c r="D93" s="881"/>
      <c r="E93" s="863"/>
      <c r="F93" s="896"/>
      <c r="G93" s="270"/>
      <c r="H93" s="270"/>
      <c r="I93" s="877"/>
      <c r="J93" s="939"/>
      <c r="K93" s="799"/>
      <c r="L93" s="796"/>
      <c r="M93" s="796"/>
      <c r="N93" s="799"/>
      <c r="O93" s="784"/>
      <c r="P93" s="796"/>
      <c r="Q93" s="796"/>
      <c r="R93" s="784"/>
      <c r="S93" s="787"/>
      <c r="T93" s="287">
        <v>0</v>
      </c>
      <c r="U93" s="784"/>
      <c r="V93" s="790"/>
      <c r="W93" s="287"/>
      <c r="X93" s="784"/>
      <c r="Y93" s="784"/>
      <c r="Z93" s="287"/>
      <c r="AA93" s="287"/>
      <c r="AB93" s="784"/>
      <c r="AC93" s="287"/>
      <c r="AD93" s="287"/>
      <c r="AE93" s="278" t="s">
        <v>590</v>
      </c>
      <c r="AF93" s="278" t="s">
        <v>592</v>
      </c>
      <c r="AG93" s="290">
        <f>7*150</f>
        <v>1050</v>
      </c>
      <c r="AH93" s="793"/>
      <c r="AI93" s="775"/>
      <c r="AJ93" s="43"/>
    </row>
    <row r="94" spans="1:36" ht="24.95" customHeight="1" x14ac:dyDescent="0.2">
      <c r="A94" s="947"/>
      <c r="B94" s="881"/>
      <c r="C94" s="942"/>
      <c r="D94" s="882"/>
      <c r="E94" s="863"/>
      <c r="F94" s="896"/>
      <c r="G94" s="270"/>
      <c r="H94" s="270"/>
      <c r="I94" s="878"/>
      <c r="J94" s="939"/>
      <c r="K94" s="800"/>
      <c r="L94" s="797"/>
      <c r="M94" s="797"/>
      <c r="N94" s="800"/>
      <c r="O94" s="785"/>
      <c r="P94" s="797"/>
      <c r="Q94" s="797"/>
      <c r="R94" s="785"/>
      <c r="S94" s="788"/>
      <c r="T94" s="287">
        <v>0</v>
      </c>
      <c r="U94" s="785"/>
      <c r="V94" s="791"/>
      <c r="W94" s="287"/>
      <c r="X94" s="785"/>
      <c r="Y94" s="785"/>
      <c r="Z94" s="287"/>
      <c r="AA94" s="287"/>
      <c r="AB94" s="785"/>
      <c r="AC94" s="287"/>
      <c r="AD94" s="287"/>
      <c r="AE94" s="277"/>
      <c r="AF94" s="277"/>
      <c r="AG94" s="288"/>
      <c r="AH94" s="794"/>
      <c r="AI94" s="776"/>
      <c r="AJ94" s="43"/>
    </row>
    <row r="95" spans="1:36" ht="24.95" customHeight="1" x14ac:dyDescent="0.2">
      <c r="A95" s="947"/>
      <c r="B95" s="881"/>
      <c r="C95" s="942"/>
      <c r="D95" s="880" t="s">
        <v>1036</v>
      </c>
      <c r="E95" s="863"/>
      <c r="F95" s="896"/>
      <c r="G95" s="270"/>
      <c r="H95" s="270"/>
      <c r="I95" s="876">
        <v>42520</v>
      </c>
      <c r="J95" s="939">
        <v>7504</v>
      </c>
      <c r="K95" s="798"/>
      <c r="L95" s="795">
        <f t="shared" ref="L95" si="129">I95</f>
        <v>42520</v>
      </c>
      <c r="M95" s="795">
        <f t="shared" ref="M95" si="130">J95</f>
        <v>7504</v>
      </c>
      <c r="N95" s="798"/>
      <c r="O95" s="783">
        <f t="shared" ref="O95:Q95" si="131">L95</f>
        <v>42520</v>
      </c>
      <c r="P95" s="795">
        <f t="shared" si="131"/>
        <v>7504</v>
      </c>
      <c r="Q95" s="795">
        <f t="shared" si="131"/>
        <v>0</v>
      </c>
      <c r="R95" s="783">
        <f>SUM(O95:Q97)</f>
        <v>50024</v>
      </c>
      <c r="S95" s="786">
        <f>R95</f>
        <v>50024</v>
      </c>
      <c r="T95" s="287">
        <v>0</v>
      </c>
      <c r="U95" s="783">
        <f>S95-T95-T96-T97</f>
        <v>50024</v>
      </c>
      <c r="V95" s="789">
        <f>S95*0.8</f>
        <v>40019.200000000004</v>
      </c>
      <c r="W95" s="287"/>
      <c r="X95" s="783">
        <f>V95-W95-W96-W97</f>
        <v>40019.200000000004</v>
      </c>
      <c r="Y95" s="783">
        <f t="shared" ref="Y95" si="132">S95*0.17/1.065</f>
        <v>7985.0516431924889</v>
      </c>
      <c r="Z95" s="287"/>
      <c r="AA95" s="287"/>
      <c r="AB95" s="783">
        <f t="shared" ref="AB95" si="133">V95*0.2/1.065</f>
        <v>7515.3427230046964</v>
      </c>
      <c r="AC95" s="287"/>
      <c r="AD95" s="287"/>
      <c r="AE95" s="278" t="s">
        <v>590</v>
      </c>
      <c r="AF95" s="278" t="s">
        <v>749</v>
      </c>
      <c r="AG95" s="290">
        <f>0.715*2000</f>
        <v>1430</v>
      </c>
      <c r="AH95" s="792">
        <f>V95-Y95-AB95-AG95-AG96-AG97</f>
        <v>22638.805633802818</v>
      </c>
      <c r="AI95" s="774"/>
      <c r="AJ95" s="43"/>
    </row>
    <row r="96" spans="1:36" ht="24.95" customHeight="1" x14ac:dyDescent="0.2">
      <c r="A96" s="947"/>
      <c r="B96" s="881"/>
      <c r="C96" s="942"/>
      <c r="D96" s="881"/>
      <c r="E96" s="863"/>
      <c r="F96" s="896"/>
      <c r="G96" s="270"/>
      <c r="H96" s="270"/>
      <c r="I96" s="877"/>
      <c r="J96" s="939"/>
      <c r="K96" s="799"/>
      <c r="L96" s="796"/>
      <c r="M96" s="796"/>
      <c r="N96" s="799"/>
      <c r="O96" s="784"/>
      <c r="P96" s="796"/>
      <c r="Q96" s="796"/>
      <c r="R96" s="784"/>
      <c r="S96" s="787"/>
      <c r="T96" s="287">
        <v>0</v>
      </c>
      <c r="U96" s="784"/>
      <c r="V96" s="790"/>
      <c r="W96" s="287"/>
      <c r="X96" s="784"/>
      <c r="Y96" s="784"/>
      <c r="Z96" s="287"/>
      <c r="AA96" s="287"/>
      <c r="AB96" s="784"/>
      <c r="AC96" s="287"/>
      <c r="AD96" s="287"/>
      <c r="AE96" s="278" t="s">
        <v>590</v>
      </c>
      <c r="AF96" s="278" t="s">
        <v>592</v>
      </c>
      <c r="AG96" s="290">
        <f>3*150</f>
        <v>450</v>
      </c>
      <c r="AH96" s="793"/>
      <c r="AI96" s="775"/>
      <c r="AJ96" s="43"/>
    </row>
    <row r="97" spans="1:36" ht="24.95" customHeight="1" x14ac:dyDescent="0.2">
      <c r="A97" s="947"/>
      <c r="B97" s="881"/>
      <c r="C97" s="942"/>
      <c r="D97" s="882"/>
      <c r="E97" s="863"/>
      <c r="F97" s="896"/>
      <c r="G97" s="270"/>
      <c r="H97" s="270"/>
      <c r="I97" s="878"/>
      <c r="J97" s="939"/>
      <c r="K97" s="800"/>
      <c r="L97" s="797"/>
      <c r="M97" s="797"/>
      <c r="N97" s="800"/>
      <c r="O97" s="785"/>
      <c r="P97" s="797"/>
      <c r="Q97" s="797"/>
      <c r="R97" s="785"/>
      <c r="S97" s="788"/>
      <c r="T97" s="287">
        <v>0</v>
      </c>
      <c r="U97" s="785"/>
      <c r="V97" s="791"/>
      <c r="W97" s="287"/>
      <c r="X97" s="785"/>
      <c r="Y97" s="785"/>
      <c r="Z97" s="287"/>
      <c r="AA97" s="287"/>
      <c r="AB97" s="785"/>
      <c r="AC97" s="287"/>
      <c r="AD97" s="287"/>
      <c r="AE97" s="277"/>
      <c r="AF97" s="277"/>
      <c r="AG97" s="288"/>
      <c r="AH97" s="794"/>
      <c r="AI97" s="776"/>
      <c r="AJ97" s="43"/>
    </row>
    <row r="98" spans="1:36" ht="24.95" customHeight="1" x14ac:dyDescent="0.2">
      <c r="A98" s="947"/>
      <c r="B98" s="881"/>
      <c r="C98" s="942"/>
      <c r="D98" s="880" t="s">
        <v>1037</v>
      </c>
      <c r="E98" s="863"/>
      <c r="F98" s="896"/>
      <c r="G98" s="270"/>
      <c r="H98" s="270"/>
      <c r="I98" s="876">
        <v>63004</v>
      </c>
      <c r="J98" s="939">
        <v>11118</v>
      </c>
      <c r="K98" s="798"/>
      <c r="L98" s="795">
        <f>I98</f>
        <v>63004</v>
      </c>
      <c r="M98" s="795">
        <f>J98</f>
        <v>11118</v>
      </c>
      <c r="N98" s="798"/>
      <c r="O98" s="783">
        <f t="shared" ref="O98:Q98" si="134">L98</f>
        <v>63004</v>
      </c>
      <c r="P98" s="795">
        <f t="shared" si="134"/>
        <v>11118</v>
      </c>
      <c r="Q98" s="795">
        <f t="shared" si="134"/>
        <v>0</v>
      </c>
      <c r="R98" s="783">
        <f>SUM(O98:Q100)</f>
        <v>74122</v>
      </c>
      <c r="S98" s="786">
        <f>R98</f>
        <v>74122</v>
      </c>
      <c r="T98" s="287">
        <v>0</v>
      </c>
      <c r="U98" s="783">
        <f>S98-T98-T99-T100</f>
        <v>74122</v>
      </c>
      <c r="V98" s="789">
        <f>S98*0.8</f>
        <v>59297.600000000006</v>
      </c>
      <c r="W98" s="287"/>
      <c r="X98" s="783">
        <f>V98-W98-W99-W100</f>
        <v>59297.600000000006</v>
      </c>
      <c r="Y98" s="783">
        <f>S98*0.17/1.065</f>
        <v>11831.680751173712</v>
      </c>
      <c r="Z98" s="287"/>
      <c r="AA98" s="287"/>
      <c r="AB98" s="783">
        <f>V98*0.2/1.065</f>
        <v>11135.699530516435</v>
      </c>
      <c r="AC98" s="287"/>
      <c r="AD98" s="287"/>
      <c r="AE98" s="278" t="s">
        <v>590</v>
      </c>
      <c r="AF98" s="278" t="s">
        <v>749</v>
      </c>
      <c r="AG98" s="290">
        <f>1.521*2000</f>
        <v>3042</v>
      </c>
      <c r="AH98" s="792">
        <f>V98-Y98-AB98-AG98-AG99-AG100</f>
        <v>32688.219718309861</v>
      </c>
      <c r="AI98" s="774"/>
      <c r="AJ98" s="43"/>
    </row>
    <row r="99" spans="1:36" ht="24.95" customHeight="1" x14ac:dyDescent="0.2">
      <c r="A99" s="947"/>
      <c r="B99" s="881"/>
      <c r="C99" s="942"/>
      <c r="D99" s="881"/>
      <c r="E99" s="863"/>
      <c r="F99" s="896"/>
      <c r="G99" s="270"/>
      <c r="H99" s="270"/>
      <c r="I99" s="877"/>
      <c r="J99" s="939"/>
      <c r="K99" s="799"/>
      <c r="L99" s="796"/>
      <c r="M99" s="796"/>
      <c r="N99" s="799"/>
      <c r="O99" s="784"/>
      <c r="P99" s="796"/>
      <c r="Q99" s="796"/>
      <c r="R99" s="784"/>
      <c r="S99" s="787"/>
      <c r="T99" s="287">
        <v>0</v>
      </c>
      <c r="U99" s="784"/>
      <c r="V99" s="790"/>
      <c r="W99" s="287"/>
      <c r="X99" s="784"/>
      <c r="Y99" s="784"/>
      <c r="Z99" s="287"/>
      <c r="AA99" s="287"/>
      <c r="AB99" s="784"/>
      <c r="AC99" s="287"/>
      <c r="AD99" s="287"/>
      <c r="AE99" s="278" t="s">
        <v>590</v>
      </c>
      <c r="AF99" s="278" t="s">
        <v>592</v>
      </c>
      <c r="AG99" s="290">
        <f>4*150</f>
        <v>600</v>
      </c>
      <c r="AH99" s="793"/>
      <c r="AI99" s="775"/>
      <c r="AJ99" s="43"/>
    </row>
    <row r="100" spans="1:36" ht="24.95" customHeight="1" x14ac:dyDescent="0.2">
      <c r="A100" s="947"/>
      <c r="B100" s="881"/>
      <c r="C100" s="942"/>
      <c r="D100" s="882"/>
      <c r="E100" s="863"/>
      <c r="F100" s="896"/>
      <c r="G100" s="270"/>
      <c r="H100" s="270"/>
      <c r="I100" s="878"/>
      <c r="J100" s="939"/>
      <c r="K100" s="800"/>
      <c r="L100" s="797"/>
      <c r="M100" s="797"/>
      <c r="N100" s="800"/>
      <c r="O100" s="785"/>
      <c r="P100" s="797"/>
      <c r="Q100" s="797"/>
      <c r="R100" s="785"/>
      <c r="S100" s="788"/>
      <c r="T100" s="287">
        <v>0</v>
      </c>
      <c r="U100" s="785"/>
      <c r="V100" s="791"/>
      <c r="W100" s="287"/>
      <c r="X100" s="785"/>
      <c r="Y100" s="785"/>
      <c r="Z100" s="287"/>
      <c r="AA100" s="287"/>
      <c r="AB100" s="785"/>
      <c r="AC100" s="287"/>
      <c r="AD100" s="287"/>
      <c r="AE100" s="277"/>
      <c r="AF100" s="277"/>
      <c r="AG100" s="288"/>
      <c r="AH100" s="794"/>
      <c r="AI100" s="776"/>
      <c r="AJ100" s="43"/>
    </row>
    <row r="101" spans="1:36" ht="24.95" customHeight="1" x14ac:dyDescent="0.2">
      <c r="A101" s="947"/>
      <c r="B101" s="881"/>
      <c r="C101" s="942"/>
      <c r="D101" s="880" t="s">
        <v>1038</v>
      </c>
      <c r="E101" s="863"/>
      <c r="F101" s="896"/>
      <c r="G101" s="270"/>
      <c r="H101" s="270"/>
      <c r="I101" s="876">
        <v>58399</v>
      </c>
      <c r="J101" s="939">
        <v>10303</v>
      </c>
      <c r="K101" s="798"/>
      <c r="L101" s="795">
        <f t="shared" ref="L101" si="135">I101</f>
        <v>58399</v>
      </c>
      <c r="M101" s="795">
        <f t="shared" ref="M101" si="136">J101</f>
        <v>10303</v>
      </c>
      <c r="N101" s="798"/>
      <c r="O101" s="783">
        <f t="shared" ref="O101:Q101" si="137">L101</f>
        <v>58399</v>
      </c>
      <c r="P101" s="795">
        <f t="shared" si="137"/>
        <v>10303</v>
      </c>
      <c r="Q101" s="795">
        <f t="shared" si="137"/>
        <v>0</v>
      </c>
      <c r="R101" s="783">
        <f>SUM(O101:Q103)</f>
        <v>68702</v>
      </c>
      <c r="S101" s="786">
        <f>R101</f>
        <v>68702</v>
      </c>
      <c r="T101" s="287">
        <v>0</v>
      </c>
      <c r="U101" s="783">
        <f>S101-T101-T102-T103</f>
        <v>68702</v>
      </c>
      <c r="V101" s="789">
        <f>S101*0.8</f>
        <v>54961.600000000006</v>
      </c>
      <c r="W101" s="287"/>
      <c r="X101" s="783">
        <f>V101-W101-W102-W103</f>
        <v>54961.600000000006</v>
      </c>
      <c r="Y101" s="783">
        <f t="shared" ref="Y101" si="138">S101*0.17/1.065</f>
        <v>10966.516431924883</v>
      </c>
      <c r="Z101" s="287"/>
      <c r="AA101" s="287"/>
      <c r="AB101" s="783">
        <f t="shared" ref="AB101" si="139">V101*0.2/1.065</f>
        <v>10321.427230046951</v>
      </c>
      <c r="AC101" s="287"/>
      <c r="AD101" s="287"/>
      <c r="AE101" s="278" t="s">
        <v>590</v>
      </c>
      <c r="AF101" s="278" t="s">
        <v>749</v>
      </c>
      <c r="AG101" s="290">
        <f>1.31*2000</f>
        <v>2620</v>
      </c>
      <c r="AH101" s="792">
        <f>V101-Y101-AB101-AG101-AG102-AG103</f>
        <v>30453.656338028166</v>
      </c>
      <c r="AI101" s="774"/>
      <c r="AJ101" s="43"/>
    </row>
    <row r="102" spans="1:36" ht="24.95" customHeight="1" x14ac:dyDescent="0.2">
      <c r="A102" s="947"/>
      <c r="B102" s="881"/>
      <c r="C102" s="942"/>
      <c r="D102" s="881"/>
      <c r="E102" s="863"/>
      <c r="F102" s="896"/>
      <c r="G102" s="270"/>
      <c r="H102" s="270"/>
      <c r="I102" s="877"/>
      <c r="J102" s="939"/>
      <c r="K102" s="799"/>
      <c r="L102" s="796"/>
      <c r="M102" s="796"/>
      <c r="N102" s="799"/>
      <c r="O102" s="784"/>
      <c r="P102" s="796"/>
      <c r="Q102" s="796"/>
      <c r="R102" s="784"/>
      <c r="S102" s="787"/>
      <c r="T102" s="287">
        <v>0</v>
      </c>
      <c r="U102" s="784"/>
      <c r="V102" s="790"/>
      <c r="W102" s="287"/>
      <c r="X102" s="784"/>
      <c r="Y102" s="784"/>
      <c r="Z102" s="287"/>
      <c r="AA102" s="287"/>
      <c r="AB102" s="784"/>
      <c r="AC102" s="287"/>
      <c r="AD102" s="287"/>
      <c r="AE102" s="278" t="s">
        <v>590</v>
      </c>
      <c r="AF102" s="278" t="s">
        <v>592</v>
      </c>
      <c r="AG102" s="290">
        <f>4*150</f>
        <v>600</v>
      </c>
      <c r="AH102" s="793"/>
      <c r="AI102" s="775"/>
      <c r="AJ102" s="43"/>
    </row>
    <row r="103" spans="1:36" ht="24.95" customHeight="1" x14ac:dyDescent="0.2">
      <c r="A103" s="947"/>
      <c r="B103" s="881"/>
      <c r="C103" s="942"/>
      <c r="D103" s="882"/>
      <c r="E103" s="863"/>
      <c r="F103" s="896"/>
      <c r="G103" s="270"/>
      <c r="H103" s="270"/>
      <c r="I103" s="878"/>
      <c r="J103" s="939"/>
      <c r="K103" s="800"/>
      <c r="L103" s="797"/>
      <c r="M103" s="797"/>
      <c r="N103" s="800"/>
      <c r="O103" s="785"/>
      <c r="P103" s="797"/>
      <c r="Q103" s="797"/>
      <c r="R103" s="785"/>
      <c r="S103" s="788"/>
      <c r="T103" s="287">
        <v>0</v>
      </c>
      <c r="U103" s="785"/>
      <c r="V103" s="791"/>
      <c r="W103" s="287"/>
      <c r="X103" s="785"/>
      <c r="Y103" s="785"/>
      <c r="Z103" s="287"/>
      <c r="AA103" s="287"/>
      <c r="AB103" s="785"/>
      <c r="AC103" s="287"/>
      <c r="AD103" s="287"/>
      <c r="AE103" s="277"/>
      <c r="AF103" s="277"/>
      <c r="AG103" s="288"/>
      <c r="AH103" s="794"/>
      <c r="AI103" s="776"/>
      <c r="AJ103" s="43"/>
    </row>
    <row r="104" spans="1:36" ht="24.95" customHeight="1" x14ac:dyDescent="0.2">
      <c r="A104" s="947"/>
      <c r="B104" s="881"/>
      <c r="C104" s="942"/>
      <c r="D104" s="880" t="s">
        <v>1039</v>
      </c>
      <c r="E104" s="863"/>
      <c r="F104" s="896"/>
      <c r="G104" s="270"/>
      <c r="H104" s="270"/>
      <c r="I104" s="876">
        <v>246800</v>
      </c>
      <c r="J104" s="795">
        <v>43553</v>
      </c>
      <c r="K104" s="798"/>
      <c r="L104" s="795">
        <f t="shared" ref="L104" si="140">I104</f>
        <v>246800</v>
      </c>
      <c r="M104" s="795">
        <f t="shared" ref="M104" si="141">J104</f>
        <v>43553</v>
      </c>
      <c r="N104" s="798"/>
      <c r="O104" s="783">
        <f t="shared" ref="O104:Q104" si="142">L104</f>
        <v>246800</v>
      </c>
      <c r="P104" s="795">
        <f t="shared" si="142"/>
        <v>43553</v>
      </c>
      <c r="Q104" s="795">
        <f t="shared" si="142"/>
        <v>0</v>
      </c>
      <c r="R104" s="783">
        <f>SUM(O104:Q106)</f>
        <v>290353</v>
      </c>
      <c r="S104" s="786">
        <f>R104</f>
        <v>290353</v>
      </c>
      <c r="T104" s="287">
        <v>0</v>
      </c>
      <c r="U104" s="783">
        <f>S104-T104-T105-T106</f>
        <v>290353</v>
      </c>
      <c r="V104" s="789">
        <f>S104*0.8</f>
        <v>232282.40000000002</v>
      </c>
      <c r="W104" s="287"/>
      <c r="X104" s="783">
        <f>V104-W104-W105-W106</f>
        <v>232282.40000000002</v>
      </c>
      <c r="Y104" s="783">
        <f t="shared" ref="Y104" si="143">S104*0.17/1.065</f>
        <v>46347.427230046953</v>
      </c>
      <c r="Z104" s="287"/>
      <c r="AA104" s="287"/>
      <c r="AB104" s="783">
        <f t="shared" ref="AB104" si="144">V104*0.2/1.065</f>
        <v>43621.107981220666</v>
      </c>
      <c r="AC104" s="287"/>
      <c r="AD104" s="287"/>
      <c r="AE104" s="278" t="s">
        <v>590</v>
      </c>
      <c r="AF104" s="278" t="s">
        <v>749</v>
      </c>
      <c r="AG104" s="290">
        <f>6.95*2000</f>
        <v>13900</v>
      </c>
      <c r="AH104" s="792">
        <f>V104-Y104-AB104-AG104-AG105-AG106</f>
        <v>127213.8647887324</v>
      </c>
      <c r="AI104" s="774"/>
      <c r="AJ104" s="43"/>
    </row>
    <row r="105" spans="1:36" ht="24.95" customHeight="1" x14ac:dyDescent="0.2">
      <c r="A105" s="947"/>
      <c r="B105" s="881"/>
      <c r="C105" s="942"/>
      <c r="D105" s="881"/>
      <c r="E105" s="863"/>
      <c r="F105" s="896"/>
      <c r="G105" s="270"/>
      <c r="H105" s="270"/>
      <c r="I105" s="877"/>
      <c r="J105" s="796"/>
      <c r="K105" s="799"/>
      <c r="L105" s="796"/>
      <c r="M105" s="796"/>
      <c r="N105" s="799"/>
      <c r="O105" s="784"/>
      <c r="P105" s="796"/>
      <c r="Q105" s="796"/>
      <c r="R105" s="784"/>
      <c r="S105" s="787"/>
      <c r="T105" s="287">
        <v>0</v>
      </c>
      <c r="U105" s="784"/>
      <c r="V105" s="790"/>
      <c r="W105" s="287"/>
      <c r="X105" s="784"/>
      <c r="Y105" s="784"/>
      <c r="Z105" s="287"/>
      <c r="AA105" s="287"/>
      <c r="AB105" s="784"/>
      <c r="AC105" s="287"/>
      <c r="AD105" s="287"/>
      <c r="AE105" s="278" t="s">
        <v>590</v>
      </c>
      <c r="AF105" s="278" t="s">
        <v>592</v>
      </c>
      <c r="AG105" s="290">
        <f>8*150</f>
        <v>1200</v>
      </c>
      <c r="AH105" s="793"/>
      <c r="AI105" s="775"/>
      <c r="AJ105" s="43"/>
    </row>
    <row r="106" spans="1:36" ht="24.95" customHeight="1" x14ac:dyDescent="0.2">
      <c r="A106" s="947"/>
      <c r="B106" s="881"/>
      <c r="C106" s="942"/>
      <c r="D106" s="882"/>
      <c r="E106" s="863"/>
      <c r="F106" s="896"/>
      <c r="G106" s="270"/>
      <c r="H106" s="270"/>
      <c r="I106" s="878"/>
      <c r="J106" s="797"/>
      <c r="K106" s="800"/>
      <c r="L106" s="797"/>
      <c r="M106" s="797"/>
      <c r="N106" s="800"/>
      <c r="O106" s="785"/>
      <c r="P106" s="797"/>
      <c r="Q106" s="797"/>
      <c r="R106" s="785"/>
      <c r="S106" s="788"/>
      <c r="T106" s="287">
        <v>0</v>
      </c>
      <c r="U106" s="785"/>
      <c r="V106" s="791"/>
      <c r="W106" s="287"/>
      <c r="X106" s="785"/>
      <c r="Y106" s="785"/>
      <c r="Z106" s="287"/>
      <c r="AA106" s="287"/>
      <c r="AB106" s="785"/>
      <c r="AC106" s="287"/>
      <c r="AD106" s="287"/>
      <c r="AE106" s="277"/>
      <c r="AF106" s="277"/>
      <c r="AG106" s="288"/>
      <c r="AH106" s="794"/>
      <c r="AI106" s="776"/>
      <c r="AJ106" s="43"/>
    </row>
    <row r="107" spans="1:36" ht="24.95" customHeight="1" x14ac:dyDescent="0.2">
      <c r="A107" s="947"/>
      <c r="B107" s="881"/>
      <c r="C107" s="942"/>
      <c r="D107" s="880" t="s">
        <v>1040</v>
      </c>
      <c r="E107" s="863"/>
      <c r="F107" s="896"/>
      <c r="G107" s="270"/>
      <c r="H107" s="270"/>
      <c r="I107" s="876">
        <v>50986</v>
      </c>
      <c r="J107" s="795">
        <v>8998</v>
      </c>
      <c r="K107" s="798"/>
      <c r="L107" s="795">
        <f t="shared" ref="L107" si="145">I107</f>
        <v>50986</v>
      </c>
      <c r="M107" s="795">
        <f t="shared" ref="M107" si="146">J107</f>
        <v>8998</v>
      </c>
      <c r="N107" s="798"/>
      <c r="O107" s="783">
        <f t="shared" ref="O107:Q107" si="147">L107</f>
        <v>50986</v>
      </c>
      <c r="P107" s="795">
        <f t="shared" si="147"/>
        <v>8998</v>
      </c>
      <c r="Q107" s="795">
        <f t="shared" si="147"/>
        <v>0</v>
      </c>
      <c r="R107" s="783">
        <f>SUM(O107:Q109)</f>
        <v>59984</v>
      </c>
      <c r="S107" s="786">
        <f>R107</f>
        <v>59984</v>
      </c>
      <c r="T107" s="287">
        <v>0</v>
      </c>
      <c r="U107" s="783">
        <f>S107-T107-T108-T109</f>
        <v>59984</v>
      </c>
      <c r="V107" s="789">
        <f>S107*0.8</f>
        <v>47987.200000000004</v>
      </c>
      <c r="W107" s="287"/>
      <c r="X107" s="783">
        <f>V107-W107-W108-W109</f>
        <v>47987.200000000004</v>
      </c>
      <c r="Y107" s="783">
        <f t="shared" ref="Y107" si="148">S107*0.17/1.065</f>
        <v>9574.9107981220677</v>
      </c>
      <c r="Z107" s="287"/>
      <c r="AA107" s="287"/>
      <c r="AB107" s="783">
        <f t="shared" ref="AB107" si="149">V107*0.2/1.065</f>
        <v>9011.6807511737097</v>
      </c>
      <c r="AC107" s="287"/>
      <c r="AD107" s="287"/>
      <c r="AE107" s="278" t="s">
        <v>590</v>
      </c>
      <c r="AF107" s="278" t="s">
        <v>749</v>
      </c>
      <c r="AG107" s="290">
        <f>1.017*2000</f>
        <v>2033.9999999999998</v>
      </c>
      <c r="AH107" s="792">
        <f>V107-Y107-AB107-AG107-AG108-AG109</f>
        <v>26916.608450704229</v>
      </c>
      <c r="AI107" s="774"/>
      <c r="AJ107" s="43"/>
    </row>
    <row r="108" spans="1:36" ht="24.95" customHeight="1" x14ac:dyDescent="0.2">
      <c r="A108" s="947"/>
      <c r="B108" s="881"/>
      <c r="C108" s="942"/>
      <c r="D108" s="881"/>
      <c r="E108" s="863"/>
      <c r="F108" s="896"/>
      <c r="G108" s="270"/>
      <c r="H108" s="270"/>
      <c r="I108" s="877"/>
      <c r="J108" s="796"/>
      <c r="K108" s="799"/>
      <c r="L108" s="796"/>
      <c r="M108" s="796"/>
      <c r="N108" s="799"/>
      <c r="O108" s="784"/>
      <c r="P108" s="796"/>
      <c r="Q108" s="796"/>
      <c r="R108" s="784"/>
      <c r="S108" s="787"/>
      <c r="T108" s="287">
        <v>0</v>
      </c>
      <c r="U108" s="784"/>
      <c r="V108" s="790"/>
      <c r="W108" s="287"/>
      <c r="X108" s="784"/>
      <c r="Y108" s="784"/>
      <c r="Z108" s="287"/>
      <c r="AA108" s="287"/>
      <c r="AB108" s="784"/>
      <c r="AC108" s="287"/>
      <c r="AD108" s="287"/>
      <c r="AE108" s="278" t="s">
        <v>590</v>
      </c>
      <c r="AF108" s="278" t="s">
        <v>592</v>
      </c>
      <c r="AG108" s="290">
        <f>3*150</f>
        <v>450</v>
      </c>
      <c r="AH108" s="793"/>
      <c r="AI108" s="775"/>
      <c r="AJ108" s="43"/>
    </row>
    <row r="109" spans="1:36" ht="24.95" customHeight="1" x14ac:dyDescent="0.2">
      <c r="A109" s="947"/>
      <c r="B109" s="881"/>
      <c r="C109" s="942"/>
      <c r="D109" s="882"/>
      <c r="E109" s="863"/>
      <c r="F109" s="896"/>
      <c r="G109" s="270"/>
      <c r="H109" s="270"/>
      <c r="I109" s="878"/>
      <c r="J109" s="797"/>
      <c r="K109" s="800"/>
      <c r="L109" s="797"/>
      <c r="M109" s="797"/>
      <c r="N109" s="800"/>
      <c r="O109" s="785"/>
      <c r="P109" s="797"/>
      <c r="Q109" s="797"/>
      <c r="R109" s="785"/>
      <c r="S109" s="788"/>
      <c r="T109" s="287">
        <v>0</v>
      </c>
      <c r="U109" s="785"/>
      <c r="V109" s="791"/>
      <c r="W109" s="287"/>
      <c r="X109" s="785"/>
      <c r="Y109" s="785"/>
      <c r="Z109" s="287"/>
      <c r="AA109" s="287"/>
      <c r="AB109" s="785"/>
      <c r="AC109" s="287"/>
      <c r="AD109" s="287"/>
      <c r="AE109" s="277"/>
      <c r="AF109" s="277"/>
      <c r="AG109" s="288"/>
      <c r="AH109" s="794"/>
      <c r="AI109" s="776"/>
      <c r="AJ109" s="43"/>
    </row>
    <row r="110" spans="1:36" ht="24.95" customHeight="1" x14ac:dyDescent="0.2">
      <c r="A110" s="947"/>
      <c r="B110" s="881"/>
      <c r="C110" s="942"/>
      <c r="D110" s="821" t="s">
        <v>1041</v>
      </c>
      <c r="E110" s="863"/>
      <c r="F110" s="896"/>
      <c r="G110" s="270"/>
      <c r="H110" s="270"/>
      <c r="I110" s="876">
        <v>28855</v>
      </c>
      <c r="J110" s="795">
        <v>5092</v>
      </c>
      <c r="K110" s="798"/>
      <c r="L110" s="795">
        <f>I110</f>
        <v>28855</v>
      </c>
      <c r="M110" s="795">
        <f>J110</f>
        <v>5092</v>
      </c>
      <c r="N110" s="798"/>
      <c r="O110" s="783">
        <f t="shared" ref="O110:Q110" si="150">L110</f>
        <v>28855</v>
      </c>
      <c r="P110" s="795">
        <f t="shared" si="150"/>
        <v>5092</v>
      </c>
      <c r="Q110" s="795">
        <f t="shared" si="150"/>
        <v>0</v>
      </c>
      <c r="R110" s="783">
        <f>SUM(O110:Q112)</f>
        <v>33947</v>
      </c>
      <c r="S110" s="786">
        <f>R110</f>
        <v>33947</v>
      </c>
      <c r="T110" s="287">
        <v>0</v>
      </c>
      <c r="U110" s="783">
        <f>S110-T110-T111-T112</f>
        <v>33947</v>
      </c>
      <c r="V110" s="789">
        <f>S110*0.8</f>
        <v>27157.600000000002</v>
      </c>
      <c r="W110" s="287"/>
      <c r="X110" s="783">
        <f>V110-W110-W111-W112</f>
        <v>27157.600000000002</v>
      </c>
      <c r="Y110" s="783">
        <f t="shared" ref="Y110" si="151">S110*0.17/1.065</f>
        <v>5418.7699530516438</v>
      </c>
      <c r="Z110" s="287"/>
      <c r="AA110" s="287"/>
      <c r="AB110" s="783">
        <f t="shared" ref="AB110" si="152">V110*0.2/1.065</f>
        <v>5100.018779342724</v>
      </c>
      <c r="AC110" s="287"/>
      <c r="AD110" s="287"/>
      <c r="AE110" s="278" t="s">
        <v>590</v>
      </c>
      <c r="AF110" s="278" t="s">
        <v>749</v>
      </c>
      <c r="AG110" s="290">
        <f>0.34*2000</f>
        <v>680</v>
      </c>
      <c r="AH110" s="792">
        <f>V110-Y110-AB110-AG110-AG111-AG112</f>
        <v>15658.811267605633</v>
      </c>
      <c r="AI110" s="774"/>
      <c r="AJ110" s="43"/>
    </row>
    <row r="111" spans="1:36" ht="24.95" customHeight="1" x14ac:dyDescent="0.2">
      <c r="A111" s="947"/>
      <c r="B111" s="881"/>
      <c r="C111" s="942"/>
      <c r="D111" s="821"/>
      <c r="E111" s="863"/>
      <c r="F111" s="896"/>
      <c r="G111" s="270"/>
      <c r="H111" s="270"/>
      <c r="I111" s="877"/>
      <c r="J111" s="796"/>
      <c r="K111" s="799"/>
      <c r="L111" s="796"/>
      <c r="M111" s="796"/>
      <c r="N111" s="799"/>
      <c r="O111" s="784"/>
      <c r="P111" s="796"/>
      <c r="Q111" s="796"/>
      <c r="R111" s="784"/>
      <c r="S111" s="787"/>
      <c r="T111" s="287">
        <v>0</v>
      </c>
      <c r="U111" s="784"/>
      <c r="V111" s="790"/>
      <c r="W111" s="287"/>
      <c r="X111" s="784"/>
      <c r="Y111" s="784"/>
      <c r="Z111" s="287"/>
      <c r="AA111" s="287"/>
      <c r="AB111" s="784"/>
      <c r="AC111" s="287"/>
      <c r="AD111" s="287"/>
      <c r="AE111" s="278" t="s">
        <v>590</v>
      </c>
      <c r="AF111" s="278" t="s">
        <v>592</v>
      </c>
      <c r="AG111" s="290">
        <f>2*150</f>
        <v>300</v>
      </c>
      <c r="AH111" s="793"/>
      <c r="AI111" s="775"/>
      <c r="AJ111" s="43"/>
    </row>
    <row r="112" spans="1:36" ht="24.95" customHeight="1" x14ac:dyDescent="0.2">
      <c r="A112" s="947"/>
      <c r="B112" s="881"/>
      <c r="C112" s="942"/>
      <c r="D112" s="880"/>
      <c r="E112" s="863"/>
      <c r="F112" s="896"/>
      <c r="G112" s="270"/>
      <c r="H112" s="270"/>
      <c r="I112" s="878"/>
      <c r="J112" s="797"/>
      <c r="K112" s="800"/>
      <c r="L112" s="797"/>
      <c r="M112" s="797"/>
      <c r="N112" s="800"/>
      <c r="O112" s="785"/>
      <c r="P112" s="797"/>
      <c r="Q112" s="797"/>
      <c r="R112" s="785"/>
      <c r="S112" s="788"/>
      <c r="T112" s="287">
        <v>0</v>
      </c>
      <c r="U112" s="785"/>
      <c r="V112" s="791"/>
      <c r="W112" s="287"/>
      <c r="X112" s="785"/>
      <c r="Y112" s="785"/>
      <c r="Z112" s="287"/>
      <c r="AA112" s="287"/>
      <c r="AB112" s="785"/>
      <c r="AC112" s="287"/>
      <c r="AD112" s="287"/>
      <c r="AE112" s="277"/>
      <c r="AF112" s="277"/>
      <c r="AG112" s="288"/>
      <c r="AH112" s="794"/>
      <c r="AI112" s="776"/>
      <c r="AJ112" s="43"/>
    </row>
    <row r="113" spans="1:36" ht="24.95" customHeight="1" x14ac:dyDescent="0.2">
      <c r="A113" s="947"/>
      <c r="B113" s="881"/>
      <c r="C113" s="942"/>
      <c r="D113" s="821" t="s">
        <v>1043</v>
      </c>
      <c r="E113" s="863"/>
      <c r="F113" s="896"/>
      <c r="G113" s="270"/>
      <c r="H113" s="270"/>
      <c r="I113" s="876">
        <v>59014</v>
      </c>
      <c r="J113" s="795">
        <v>10414</v>
      </c>
      <c r="K113" s="798"/>
      <c r="L113" s="795">
        <f t="shared" ref="L113" si="153">I113</f>
        <v>59014</v>
      </c>
      <c r="M113" s="795">
        <f t="shared" ref="M113" si="154">J113</f>
        <v>10414</v>
      </c>
      <c r="N113" s="798"/>
      <c r="O113" s="783">
        <f t="shared" ref="O113:Q113" si="155">L113</f>
        <v>59014</v>
      </c>
      <c r="P113" s="795">
        <f t="shared" si="155"/>
        <v>10414</v>
      </c>
      <c r="Q113" s="795">
        <f t="shared" si="155"/>
        <v>0</v>
      </c>
      <c r="R113" s="783">
        <f>SUM(O113:Q115)</f>
        <v>69428</v>
      </c>
      <c r="S113" s="786">
        <f>R113</f>
        <v>69428</v>
      </c>
      <c r="T113" s="287">
        <v>0</v>
      </c>
      <c r="U113" s="783">
        <f>S113-T113-T114-T115</f>
        <v>69428</v>
      </c>
      <c r="V113" s="789">
        <f>S113*0.8</f>
        <v>55542.400000000001</v>
      </c>
      <c r="W113" s="287"/>
      <c r="X113" s="783">
        <f>V113-W113-W114-W115</f>
        <v>55542.400000000001</v>
      </c>
      <c r="Y113" s="783">
        <f t="shared" ref="Y113" si="156">S113*0.17/1.065</f>
        <v>11082.403755868545</v>
      </c>
      <c r="Z113" s="287"/>
      <c r="AA113" s="287"/>
      <c r="AB113" s="783">
        <f t="shared" ref="AB113" si="157">V113*0.2/1.065</f>
        <v>10430.497652582162</v>
      </c>
      <c r="AC113" s="287"/>
      <c r="AD113" s="287"/>
      <c r="AE113" s="278" t="s">
        <v>590</v>
      </c>
      <c r="AF113" s="278" t="s">
        <v>749</v>
      </c>
      <c r="AG113" s="290">
        <f>(0.8+0.31)*2000</f>
        <v>2220</v>
      </c>
      <c r="AH113" s="792">
        <f>V113-Y113-AB113-AG113-AG114-AG115</f>
        <v>31359.498591549294</v>
      </c>
      <c r="AI113" s="774"/>
      <c r="AJ113" s="43"/>
    </row>
    <row r="114" spans="1:36" ht="24.95" customHeight="1" x14ac:dyDescent="0.2">
      <c r="A114" s="947"/>
      <c r="B114" s="881"/>
      <c r="C114" s="942"/>
      <c r="D114" s="821"/>
      <c r="E114" s="863"/>
      <c r="F114" s="896"/>
      <c r="G114" s="270"/>
      <c r="H114" s="270"/>
      <c r="I114" s="877"/>
      <c r="J114" s="796"/>
      <c r="K114" s="799"/>
      <c r="L114" s="796"/>
      <c r="M114" s="796"/>
      <c r="N114" s="799"/>
      <c r="O114" s="784"/>
      <c r="P114" s="796"/>
      <c r="Q114" s="796"/>
      <c r="R114" s="784"/>
      <c r="S114" s="787"/>
      <c r="T114" s="287">
        <v>0</v>
      </c>
      <c r="U114" s="784"/>
      <c r="V114" s="790"/>
      <c r="W114" s="287"/>
      <c r="X114" s="784"/>
      <c r="Y114" s="784"/>
      <c r="Z114" s="287"/>
      <c r="AA114" s="287"/>
      <c r="AB114" s="784"/>
      <c r="AC114" s="287"/>
      <c r="AD114" s="287"/>
      <c r="AE114" s="278" t="s">
        <v>590</v>
      </c>
      <c r="AF114" s="278" t="s">
        <v>592</v>
      </c>
      <c r="AG114" s="290">
        <f>3*150</f>
        <v>450</v>
      </c>
      <c r="AH114" s="793"/>
      <c r="AI114" s="775"/>
      <c r="AJ114" s="43"/>
    </row>
    <row r="115" spans="1:36" ht="24.95" customHeight="1" x14ac:dyDescent="0.2">
      <c r="A115" s="947"/>
      <c r="B115" s="881"/>
      <c r="C115" s="942"/>
      <c r="D115" s="880"/>
      <c r="E115" s="863"/>
      <c r="F115" s="896"/>
      <c r="G115" s="270"/>
      <c r="H115" s="270"/>
      <c r="I115" s="878"/>
      <c r="J115" s="797"/>
      <c r="K115" s="800"/>
      <c r="L115" s="797"/>
      <c r="M115" s="797"/>
      <c r="N115" s="800"/>
      <c r="O115" s="785"/>
      <c r="P115" s="797"/>
      <c r="Q115" s="797"/>
      <c r="R115" s="785"/>
      <c r="S115" s="788"/>
      <c r="T115" s="287">
        <v>0</v>
      </c>
      <c r="U115" s="785"/>
      <c r="V115" s="791"/>
      <c r="W115" s="287"/>
      <c r="X115" s="785"/>
      <c r="Y115" s="785"/>
      <c r="Z115" s="287"/>
      <c r="AA115" s="287"/>
      <c r="AB115" s="785"/>
      <c r="AC115" s="287"/>
      <c r="AD115" s="287"/>
      <c r="AE115" s="277"/>
      <c r="AF115" s="277"/>
      <c r="AG115" s="288"/>
      <c r="AH115" s="794"/>
      <c r="AI115" s="776"/>
      <c r="AJ115" s="43"/>
    </row>
    <row r="116" spans="1:36" ht="24.95" customHeight="1" x14ac:dyDescent="0.2">
      <c r="A116" s="947"/>
      <c r="B116" s="881"/>
      <c r="C116" s="942"/>
      <c r="D116" s="821" t="s">
        <v>1042</v>
      </c>
      <c r="E116" s="863"/>
      <c r="F116" s="896"/>
      <c r="G116" s="270"/>
      <c r="H116" s="270"/>
      <c r="I116" s="876">
        <v>79357</v>
      </c>
      <c r="J116" s="795">
        <v>14004</v>
      </c>
      <c r="K116" s="798"/>
      <c r="L116" s="795">
        <f>I116</f>
        <v>79357</v>
      </c>
      <c r="M116" s="795">
        <f>J116</f>
        <v>14004</v>
      </c>
      <c r="N116" s="798"/>
      <c r="O116" s="783">
        <f t="shared" ref="O116:Q116" si="158">L116</f>
        <v>79357</v>
      </c>
      <c r="P116" s="795">
        <f t="shared" si="158"/>
        <v>14004</v>
      </c>
      <c r="Q116" s="795">
        <f t="shared" si="158"/>
        <v>0</v>
      </c>
      <c r="R116" s="783">
        <f>SUM(O116:Q118)</f>
        <v>93361</v>
      </c>
      <c r="S116" s="786">
        <f>R116</f>
        <v>93361</v>
      </c>
      <c r="T116" s="287">
        <v>0</v>
      </c>
      <c r="U116" s="783">
        <f>S116-T116-T117-T118</f>
        <v>93361</v>
      </c>
      <c r="V116" s="789">
        <f>S116*0.8</f>
        <v>74688.800000000003</v>
      </c>
      <c r="W116" s="287"/>
      <c r="X116" s="783">
        <f>V116-W116-W117-W118</f>
        <v>74688.800000000003</v>
      </c>
      <c r="Y116" s="783">
        <f t="shared" ref="Y116" si="159">S116*0.17/1.065</f>
        <v>14902.694835680753</v>
      </c>
      <c r="Z116" s="287"/>
      <c r="AA116" s="287"/>
      <c r="AB116" s="783">
        <f t="shared" ref="AB116" si="160">V116*0.2/1.065</f>
        <v>14026.065727699533</v>
      </c>
      <c r="AC116" s="287"/>
      <c r="AD116" s="287"/>
      <c r="AE116" s="278" t="s">
        <v>590</v>
      </c>
      <c r="AF116" s="278" t="s">
        <v>749</v>
      </c>
      <c r="AG116" s="290">
        <f>1.534*2000</f>
        <v>3068</v>
      </c>
      <c r="AH116" s="792">
        <f>V116-Y116-AB116-AG116-AG117-AG118</f>
        <v>42092.039436619714</v>
      </c>
      <c r="AI116" s="774"/>
      <c r="AJ116" s="43"/>
    </row>
    <row r="117" spans="1:36" ht="24.95" customHeight="1" x14ac:dyDescent="0.2">
      <c r="A117" s="947"/>
      <c r="B117" s="881"/>
      <c r="C117" s="942"/>
      <c r="D117" s="821"/>
      <c r="E117" s="863"/>
      <c r="F117" s="896"/>
      <c r="G117" s="270"/>
      <c r="H117" s="270"/>
      <c r="I117" s="877"/>
      <c r="J117" s="796"/>
      <c r="K117" s="799"/>
      <c r="L117" s="796"/>
      <c r="M117" s="796"/>
      <c r="N117" s="799"/>
      <c r="O117" s="784"/>
      <c r="P117" s="796"/>
      <c r="Q117" s="796"/>
      <c r="R117" s="784"/>
      <c r="S117" s="787"/>
      <c r="T117" s="287">
        <v>0</v>
      </c>
      <c r="U117" s="784"/>
      <c r="V117" s="790"/>
      <c r="W117" s="287"/>
      <c r="X117" s="784"/>
      <c r="Y117" s="784"/>
      <c r="Z117" s="287"/>
      <c r="AA117" s="287"/>
      <c r="AB117" s="784"/>
      <c r="AC117" s="287"/>
      <c r="AD117" s="287"/>
      <c r="AE117" s="278" t="s">
        <v>590</v>
      </c>
      <c r="AF117" s="278" t="s">
        <v>592</v>
      </c>
      <c r="AG117" s="290">
        <f>4*150</f>
        <v>600</v>
      </c>
      <c r="AH117" s="793"/>
      <c r="AI117" s="775"/>
      <c r="AJ117" s="43"/>
    </row>
    <row r="118" spans="1:36" ht="24.95" customHeight="1" x14ac:dyDescent="0.2">
      <c r="A118" s="948"/>
      <c r="B118" s="882"/>
      <c r="C118" s="943"/>
      <c r="D118" s="880"/>
      <c r="E118" s="894"/>
      <c r="F118" s="897"/>
      <c r="G118" s="270"/>
      <c r="H118" s="270"/>
      <c r="I118" s="878"/>
      <c r="J118" s="797"/>
      <c r="K118" s="800"/>
      <c r="L118" s="797"/>
      <c r="M118" s="797"/>
      <c r="N118" s="800"/>
      <c r="O118" s="785"/>
      <c r="P118" s="797"/>
      <c r="Q118" s="797"/>
      <c r="R118" s="785"/>
      <c r="S118" s="788"/>
      <c r="T118" s="287">
        <v>0</v>
      </c>
      <c r="U118" s="785"/>
      <c r="V118" s="791"/>
      <c r="W118" s="287"/>
      <c r="X118" s="785"/>
      <c r="Y118" s="785"/>
      <c r="Z118" s="287"/>
      <c r="AA118" s="287"/>
      <c r="AB118" s="785"/>
      <c r="AC118" s="287"/>
      <c r="AD118" s="287"/>
      <c r="AE118" s="277"/>
      <c r="AF118" s="277"/>
      <c r="AG118" s="288"/>
      <c r="AH118" s="794"/>
      <c r="AI118" s="776"/>
      <c r="AJ118" s="43"/>
    </row>
    <row r="119" spans="1:36" ht="24.95" customHeight="1" x14ac:dyDescent="0.2">
      <c r="A119" s="944">
        <v>12</v>
      </c>
      <c r="B119" s="880" t="s">
        <v>948</v>
      </c>
      <c r="C119" s="941"/>
      <c r="D119" s="821" t="s">
        <v>895</v>
      </c>
      <c r="E119" s="884" t="s">
        <v>930</v>
      </c>
      <c r="F119" s="822" t="s">
        <v>947</v>
      </c>
      <c r="G119" s="270"/>
      <c r="H119" s="270"/>
      <c r="I119" s="798"/>
      <c r="J119" s="798"/>
      <c r="K119" s="795">
        <v>70000</v>
      </c>
      <c r="L119" s="798"/>
      <c r="M119" s="798"/>
      <c r="N119" s="795">
        <f>K119</f>
        <v>70000</v>
      </c>
      <c r="O119" s="783">
        <v>0</v>
      </c>
      <c r="P119" s="795">
        <f t="shared" ref="P119:Q119" si="161">M119</f>
        <v>0</v>
      </c>
      <c r="Q119" s="795">
        <f t="shared" si="161"/>
        <v>70000</v>
      </c>
      <c r="R119" s="783">
        <f>SUM(O119:Q121)</f>
        <v>70000</v>
      </c>
      <c r="S119" s="786">
        <f>R119</f>
        <v>70000</v>
      </c>
      <c r="T119" s="867">
        <v>70000</v>
      </c>
      <c r="U119" s="783">
        <f>S119-T119-T120-T121</f>
        <v>0</v>
      </c>
      <c r="V119" s="789">
        <f>S119*0.8</f>
        <v>56000</v>
      </c>
      <c r="W119" s="287"/>
      <c r="X119" s="783">
        <f>V119-W119-W120-W121</f>
        <v>56000</v>
      </c>
      <c r="Y119" s="783">
        <f t="shared" ref="Y119" si="162">S119*0.17/1.065</f>
        <v>11173.708920187793</v>
      </c>
      <c r="Z119" s="287"/>
      <c r="AA119" s="287"/>
      <c r="AB119" s="783">
        <f t="shared" ref="AB119" si="163">V119*0.2/1.065</f>
        <v>10516.43192488263</v>
      </c>
      <c r="AC119" s="287"/>
      <c r="AD119" s="287"/>
      <c r="AE119" s="278"/>
      <c r="AF119" s="278"/>
      <c r="AG119" s="290"/>
      <c r="AH119" s="792">
        <f>V119-Y119-AB119-AG119-AG120-AG121</f>
        <v>34309.859154929574</v>
      </c>
      <c r="AI119" s="774"/>
      <c r="AJ119" s="43"/>
    </row>
    <row r="120" spans="1:36" ht="24.95" customHeight="1" x14ac:dyDescent="0.2">
      <c r="A120" s="947"/>
      <c r="B120" s="881"/>
      <c r="C120" s="942"/>
      <c r="D120" s="821"/>
      <c r="E120" s="884"/>
      <c r="F120" s="822"/>
      <c r="G120" s="270"/>
      <c r="H120" s="270"/>
      <c r="I120" s="799"/>
      <c r="J120" s="799"/>
      <c r="K120" s="796"/>
      <c r="L120" s="799"/>
      <c r="M120" s="799"/>
      <c r="N120" s="796"/>
      <c r="O120" s="784"/>
      <c r="P120" s="796"/>
      <c r="Q120" s="796"/>
      <c r="R120" s="784"/>
      <c r="S120" s="787"/>
      <c r="T120" s="868"/>
      <c r="U120" s="784"/>
      <c r="V120" s="790"/>
      <c r="W120" s="287"/>
      <c r="X120" s="784"/>
      <c r="Y120" s="784"/>
      <c r="Z120" s="287"/>
      <c r="AA120" s="287"/>
      <c r="AB120" s="784"/>
      <c r="AC120" s="287"/>
      <c r="AD120" s="287"/>
      <c r="AE120" s="278"/>
      <c r="AF120" s="278"/>
      <c r="AG120" s="290"/>
      <c r="AH120" s="793"/>
      <c r="AI120" s="775"/>
      <c r="AJ120" s="43"/>
    </row>
    <row r="121" spans="1:36" ht="24.95" customHeight="1" x14ac:dyDescent="0.2">
      <c r="A121" s="948"/>
      <c r="B121" s="882"/>
      <c r="C121" s="943"/>
      <c r="D121" s="880"/>
      <c r="E121" s="884"/>
      <c r="F121" s="895"/>
      <c r="G121" s="270"/>
      <c r="H121" s="270"/>
      <c r="I121" s="800"/>
      <c r="J121" s="800"/>
      <c r="K121" s="797"/>
      <c r="L121" s="800"/>
      <c r="M121" s="800"/>
      <c r="N121" s="797"/>
      <c r="O121" s="785"/>
      <c r="P121" s="797"/>
      <c r="Q121" s="797"/>
      <c r="R121" s="785"/>
      <c r="S121" s="788"/>
      <c r="T121" s="869"/>
      <c r="U121" s="785"/>
      <c r="V121" s="791"/>
      <c r="W121" s="287"/>
      <c r="X121" s="785"/>
      <c r="Y121" s="785"/>
      <c r="Z121" s="287"/>
      <c r="AA121" s="287"/>
      <c r="AB121" s="785"/>
      <c r="AC121" s="287"/>
      <c r="AD121" s="287"/>
      <c r="AE121" s="278"/>
      <c r="AF121" s="278"/>
      <c r="AG121" s="290"/>
      <c r="AH121" s="794"/>
      <c r="AI121" s="776"/>
      <c r="AJ121" s="43"/>
    </row>
    <row r="122" spans="1:36" ht="24.95" customHeight="1" x14ac:dyDescent="0.2">
      <c r="A122" s="944">
        <v>13</v>
      </c>
      <c r="B122" s="880" t="s">
        <v>950</v>
      </c>
      <c r="C122" s="941"/>
      <c r="D122" s="821" t="s">
        <v>895</v>
      </c>
      <c r="E122" s="884" t="s">
        <v>930</v>
      </c>
      <c r="F122" s="822" t="s">
        <v>951</v>
      </c>
      <c r="G122" s="270"/>
      <c r="H122" s="270"/>
      <c r="I122" s="798"/>
      <c r="J122" s="798"/>
      <c r="K122" s="939">
        <v>70000</v>
      </c>
      <c r="L122" s="798"/>
      <c r="M122" s="798"/>
      <c r="N122" s="795">
        <f t="shared" ref="N122" si="164">K122</f>
        <v>70000</v>
      </c>
      <c r="O122" s="783">
        <v>0</v>
      </c>
      <c r="P122" s="795">
        <f t="shared" ref="P122:Q122" si="165">M122</f>
        <v>0</v>
      </c>
      <c r="Q122" s="795">
        <f t="shared" si="165"/>
        <v>70000</v>
      </c>
      <c r="R122" s="783">
        <f>SUM(O122:Q124)</f>
        <v>70000</v>
      </c>
      <c r="S122" s="786">
        <f>R122</f>
        <v>70000</v>
      </c>
      <c r="T122" s="867">
        <v>70000</v>
      </c>
      <c r="U122" s="783">
        <f>S122-T122-T123-T124</f>
        <v>0</v>
      </c>
      <c r="V122" s="789">
        <f>S122*0.8</f>
        <v>56000</v>
      </c>
      <c r="W122" s="287"/>
      <c r="X122" s="783">
        <f>V122-W122-W123-W124</f>
        <v>56000</v>
      </c>
      <c r="Y122" s="783">
        <f t="shared" ref="Y122" si="166">S122*0.17/1.065</f>
        <v>11173.708920187793</v>
      </c>
      <c r="Z122" s="287"/>
      <c r="AA122" s="287"/>
      <c r="AB122" s="783">
        <f t="shared" ref="AB122" si="167">V122*0.2/1.065</f>
        <v>10516.43192488263</v>
      </c>
      <c r="AC122" s="289"/>
      <c r="AD122" s="289"/>
      <c r="AE122" s="995" t="s">
        <v>1081</v>
      </c>
      <c r="AF122" s="995" t="s">
        <v>1089</v>
      </c>
      <c r="AG122" s="293"/>
      <c r="AH122" s="792">
        <f>V122-Y122-AB122-AG122-AG123-AG124</f>
        <v>34309.859154929574</v>
      </c>
      <c r="AI122" s="774" t="s">
        <v>1085</v>
      </c>
      <c r="AJ122" s="43"/>
    </row>
    <row r="123" spans="1:36" ht="24.95" customHeight="1" x14ac:dyDescent="0.2">
      <c r="A123" s="947"/>
      <c r="B123" s="881"/>
      <c r="C123" s="942"/>
      <c r="D123" s="821"/>
      <c r="E123" s="884"/>
      <c r="F123" s="822"/>
      <c r="G123" s="270"/>
      <c r="H123" s="270"/>
      <c r="I123" s="799"/>
      <c r="J123" s="799"/>
      <c r="K123" s="939"/>
      <c r="L123" s="799"/>
      <c r="M123" s="799"/>
      <c r="N123" s="796"/>
      <c r="O123" s="784"/>
      <c r="P123" s="796"/>
      <c r="Q123" s="796"/>
      <c r="R123" s="784"/>
      <c r="S123" s="787"/>
      <c r="T123" s="868"/>
      <c r="U123" s="784"/>
      <c r="V123" s="790"/>
      <c r="W123" s="287"/>
      <c r="X123" s="784"/>
      <c r="Y123" s="784"/>
      <c r="Z123" s="287"/>
      <c r="AA123" s="287"/>
      <c r="AB123" s="784"/>
      <c r="AC123" s="287"/>
      <c r="AD123" s="287"/>
      <c r="AE123" s="996"/>
      <c r="AF123" s="996"/>
      <c r="AG123" s="290"/>
      <c r="AH123" s="793"/>
      <c r="AI123" s="775"/>
      <c r="AJ123" s="43"/>
    </row>
    <row r="124" spans="1:36" ht="24.95" customHeight="1" x14ac:dyDescent="0.2">
      <c r="A124" s="948"/>
      <c r="B124" s="882"/>
      <c r="C124" s="943"/>
      <c r="D124" s="880"/>
      <c r="E124" s="884"/>
      <c r="F124" s="895"/>
      <c r="G124" s="270"/>
      <c r="H124" s="270"/>
      <c r="I124" s="800"/>
      <c r="J124" s="800"/>
      <c r="K124" s="939"/>
      <c r="L124" s="800"/>
      <c r="M124" s="800"/>
      <c r="N124" s="797"/>
      <c r="O124" s="785"/>
      <c r="P124" s="797"/>
      <c r="Q124" s="797"/>
      <c r="R124" s="785"/>
      <c r="S124" s="788"/>
      <c r="T124" s="869"/>
      <c r="U124" s="785"/>
      <c r="V124" s="791"/>
      <c r="W124" s="287"/>
      <c r="X124" s="785"/>
      <c r="Y124" s="785"/>
      <c r="Z124" s="287"/>
      <c r="AA124" s="287"/>
      <c r="AB124" s="785"/>
      <c r="AC124" s="287"/>
      <c r="AD124" s="287"/>
      <c r="AE124" s="994"/>
      <c r="AF124" s="994"/>
      <c r="AG124" s="290"/>
      <c r="AH124" s="794"/>
      <c r="AI124" s="776"/>
      <c r="AJ124" s="43"/>
    </row>
    <row r="125" spans="1:36" ht="24.95" customHeight="1" x14ac:dyDescent="0.2">
      <c r="A125" s="944">
        <v>14</v>
      </c>
      <c r="B125" s="928" t="s">
        <v>949</v>
      </c>
      <c r="C125" s="941"/>
      <c r="D125" s="821" t="s">
        <v>895</v>
      </c>
      <c r="E125" s="884" t="s">
        <v>930</v>
      </c>
      <c r="F125" s="822" t="s">
        <v>952</v>
      </c>
      <c r="G125" s="270"/>
      <c r="H125" s="270"/>
      <c r="I125" s="798"/>
      <c r="J125" s="798"/>
      <c r="K125" s="939">
        <v>70000</v>
      </c>
      <c r="L125" s="798"/>
      <c r="M125" s="798"/>
      <c r="N125" s="795">
        <v>0</v>
      </c>
      <c r="O125" s="783">
        <f>L125</f>
        <v>0</v>
      </c>
      <c r="P125" s="795">
        <f t="shared" ref="P125:Q125" si="168">M125</f>
        <v>0</v>
      </c>
      <c r="Q125" s="795">
        <f t="shared" si="168"/>
        <v>0</v>
      </c>
      <c r="R125" s="783">
        <f>SUM(O125:Q127)</f>
        <v>0</v>
      </c>
      <c r="S125" s="786">
        <f>R125</f>
        <v>0</v>
      </c>
      <c r="T125" s="287">
        <v>0</v>
      </c>
      <c r="U125" s="783">
        <f>S125-T125-T126-T127</f>
        <v>0</v>
      </c>
      <c r="V125" s="789">
        <f>S125*0.8</f>
        <v>0</v>
      </c>
      <c r="W125" s="287"/>
      <c r="X125" s="783">
        <f>V125-W125-W126-W127</f>
        <v>0</v>
      </c>
      <c r="Y125" s="783">
        <f t="shared" ref="Y125" si="169">S125*0.17/1.065</f>
        <v>0</v>
      </c>
      <c r="Z125" s="287"/>
      <c r="AA125" s="287"/>
      <c r="AB125" s="783">
        <f t="shared" ref="AB125" si="170">V125*0.2/1.065</f>
        <v>0</v>
      </c>
      <c r="AC125" s="287"/>
      <c r="AD125" s="287"/>
      <c r="AE125" s="995" t="s">
        <v>1086</v>
      </c>
      <c r="AF125" s="995" t="s">
        <v>1090</v>
      </c>
      <c r="AG125" s="290"/>
      <c r="AH125" s="792">
        <f>V125-Y125-AB125-AG125-AG126-AG127</f>
        <v>0</v>
      </c>
      <c r="AI125" s="774" t="s">
        <v>1085</v>
      </c>
      <c r="AJ125" s="43"/>
    </row>
    <row r="126" spans="1:36" ht="24.95" customHeight="1" x14ac:dyDescent="0.2">
      <c r="A126" s="947"/>
      <c r="B126" s="949"/>
      <c r="C126" s="942"/>
      <c r="D126" s="821"/>
      <c r="E126" s="884"/>
      <c r="F126" s="822"/>
      <c r="G126" s="270"/>
      <c r="H126" s="270"/>
      <c r="I126" s="799"/>
      <c r="J126" s="799"/>
      <c r="K126" s="939"/>
      <c r="L126" s="799"/>
      <c r="M126" s="799"/>
      <c r="N126" s="796"/>
      <c r="O126" s="784"/>
      <c r="P126" s="796"/>
      <c r="Q126" s="796"/>
      <c r="R126" s="784"/>
      <c r="S126" s="787"/>
      <c r="T126" s="287">
        <v>0</v>
      </c>
      <c r="U126" s="784"/>
      <c r="V126" s="790"/>
      <c r="W126" s="287"/>
      <c r="X126" s="784"/>
      <c r="Y126" s="784"/>
      <c r="Z126" s="287"/>
      <c r="AA126" s="287"/>
      <c r="AB126" s="784"/>
      <c r="AC126" s="287"/>
      <c r="AD126" s="287"/>
      <c r="AE126" s="996"/>
      <c r="AF126" s="996"/>
      <c r="AG126" s="290"/>
      <c r="AH126" s="793"/>
      <c r="AI126" s="775"/>
      <c r="AJ126" s="43"/>
    </row>
    <row r="127" spans="1:36" ht="24.95" customHeight="1" x14ac:dyDescent="0.2">
      <c r="A127" s="948"/>
      <c r="B127" s="950"/>
      <c r="C127" s="943"/>
      <c r="D127" s="880"/>
      <c r="E127" s="884"/>
      <c r="F127" s="895"/>
      <c r="G127" s="270"/>
      <c r="H127" s="270"/>
      <c r="I127" s="800"/>
      <c r="J127" s="800"/>
      <c r="K127" s="939"/>
      <c r="L127" s="800"/>
      <c r="M127" s="800"/>
      <c r="N127" s="797"/>
      <c r="O127" s="785"/>
      <c r="P127" s="797"/>
      <c r="Q127" s="797"/>
      <c r="R127" s="785"/>
      <c r="S127" s="788"/>
      <c r="T127" s="287">
        <v>0</v>
      </c>
      <c r="U127" s="785"/>
      <c r="V127" s="791"/>
      <c r="W127" s="287"/>
      <c r="X127" s="785"/>
      <c r="Y127" s="785"/>
      <c r="Z127" s="287"/>
      <c r="AA127" s="287"/>
      <c r="AB127" s="785"/>
      <c r="AC127" s="287"/>
      <c r="AD127" s="287"/>
      <c r="AE127" s="994"/>
      <c r="AF127" s="994"/>
      <c r="AG127" s="290"/>
      <c r="AH127" s="794"/>
      <c r="AI127" s="776"/>
      <c r="AJ127" s="43"/>
    </row>
    <row r="128" spans="1:36" ht="24.95" customHeight="1" x14ac:dyDescent="0.2">
      <c r="A128" s="944">
        <v>15</v>
      </c>
      <c r="B128" s="880" t="s">
        <v>953</v>
      </c>
      <c r="C128" s="941"/>
      <c r="D128" s="821" t="s">
        <v>954</v>
      </c>
      <c r="E128" s="862" t="s">
        <v>930</v>
      </c>
      <c r="F128" s="895" t="s">
        <v>956</v>
      </c>
      <c r="G128" s="270"/>
      <c r="H128" s="270"/>
      <c r="I128" s="876"/>
      <c r="J128" s="795"/>
      <c r="K128" s="798"/>
      <c r="L128" s="795"/>
      <c r="M128" s="795"/>
      <c r="N128" s="798"/>
      <c r="O128" s="783">
        <f t="shared" ref="O128:Q128" si="171">L128</f>
        <v>0</v>
      </c>
      <c r="P128" s="795">
        <f t="shared" si="171"/>
        <v>0</v>
      </c>
      <c r="Q128" s="795">
        <f t="shared" si="171"/>
        <v>0</v>
      </c>
      <c r="R128" s="783">
        <f>SUM(O128:Q130)</f>
        <v>0</v>
      </c>
      <c r="S128" s="786">
        <f>R128</f>
        <v>0</v>
      </c>
      <c r="T128" s="287">
        <v>0</v>
      </c>
      <c r="U128" s="783">
        <f>S128-T128-T129-T130</f>
        <v>0</v>
      </c>
      <c r="V128" s="789">
        <f>S128*0.8</f>
        <v>0</v>
      </c>
      <c r="W128" s="287"/>
      <c r="X128" s="783">
        <f>V128-W128-W129-W130</f>
        <v>0</v>
      </c>
      <c r="Y128" s="783">
        <f t="shared" ref="Y128" si="172">S128*0.17/1.065</f>
        <v>0</v>
      </c>
      <c r="Z128" s="287"/>
      <c r="AA128" s="287"/>
      <c r="AB128" s="783">
        <f t="shared" ref="AB128" si="173">V128*0.2/1.065</f>
        <v>0</v>
      </c>
      <c r="AC128" s="287"/>
      <c r="AD128" s="287"/>
      <c r="AE128" s="278" t="s">
        <v>590</v>
      </c>
      <c r="AF128" s="278" t="s">
        <v>749</v>
      </c>
      <c r="AG128" s="290">
        <f>8.98*2500</f>
        <v>22450</v>
      </c>
      <c r="AH128" s="792">
        <f>V128-Y128-AB128-AG128-AG129-AG130</f>
        <v>-25150</v>
      </c>
      <c r="AI128" s="774"/>
      <c r="AJ128" s="43"/>
    </row>
    <row r="129" spans="1:36" ht="24.95" customHeight="1" x14ac:dyDescent="0.2">
      <c r="A129" s="947"/>
      <c r="B129" s="881"/>
      <c r="C129" s="942"/>
      <c r="D129" s="821"/>
      <c r="E129" s="863"/>
      <c r="F129" s="896"/>
      <c r="G129" s="270"/>
      <c r="H129" s="270"/>
      <c r="I129" s="877"/>
      <c r="J129" s="796"/>
      <c r="K129" s="799"/>
      <c r="L129" s="796"/>
      <c r="M129" s="796"/>
      <c r="N129" s="799"/>
      <c r="O129" s="784"/>
      <c r="P129" s="796"/>
      <c r="Q129" s="796"/>
      <c r="R129" s="784"/>
      <c r="S129" s="787"/>
      <c r="T129" s="287">
        <v>0</v>
      </c>
      <c r="U129" s="784"/>
      <c r="V129" s="790"/>
      <c r="W129" s="287"/>
      <c r="X129" s="784"/>
      <c r="Y129" s="784"/>
      <c r="Z129" s="287"/>
      <c r="AA129" s="287"/>
      <c r="AB129" s="784"/>
      <c r="AC129" s="287"/>
      <c r="AD129" s="287"/>
      <c r="AE129" s="278" t="s">
        <v>590</v>
      </c>
      <c r="AF129" s="278" t="s">
        <v>592</v>
      </c>
      <c r="AG129" s="290">
        <f>18*150</f>
        <v>2700</v>
      </c>
      <c r="AH129" s="793"/>
      <c r="AI129" s="775"/>
      <c r="AJ129" s="43"/>
    </row>
    <row r="130" spans="1:36" ht="24.95" customHeight="1" x14ac:dyDescent="0.2">
      <c r="A130" s="947"/>
      <c r="B130" s="881"/>
      <c r="C130" s="943"/>
      <c r="D130" s="880"/>
      <c r="E130" s="863"/>
      <c r="F130" s="896"/>
      <c r="G130" s="270"/>
      <c r="H130" s="270"/>
      <c r="I130" s="878"/>
      <c r="J130" s="797"/>
      <c r="K130" s="800"/>
      <c r="L130" s="797"/>
      <c r="M130" s="797"/>
      <c r="N130" s="800"/>
      <c r="O130" s="785"/>
      <c r="P130" s="797"/>
      <c r="Q130" s="797"/>
      <c r="R130" s="785"/>
      <c r="S130" s="788"/>
      <c r="T130" s="287">
        <v>0</v>
      </c>
      <c r="U130" s="785"/>
      <c r="V130" s="791"/>
      <c r="W130" s="287"/>
      <c r="X130" s="785"/>
      <c r="Y130" s="785"/>
      <c r="Z130" s="287"/>
      <c r="AA130" s="287"/>
      <c r="AB130" s="785"/>
      <c r="AC130" s="287"/>
      <c r="AD130" s="287"/>
      <c r="AE130" s="277"/>
      <c r="AF130" s="277"/>
      <c r="AG130" s="288"/>
      <c r="AH130" s="794"/>
      <c r="AI130" s="776"/>
      <c r="AJ130" s="43"/>
    </row>
    <row r="131" spans="1:36" ht="24.95" customHeight="1" x14ac:dyDescent="0.2">
      <c r="A131" s="947"/>
      <c r="B131" s="881"/>
      <c r="C131" s="941"/>
      <c r="D131" s="821" t="s">
        <v>955</v>
      </c>
      <c r="E131" s="863"/>
      <c r="F131" s="896"/>
      <c r="G131" s="270"/>
      <c r="H131" s="270"/>
      <c r="I131" s="876"/>
      <c r="J131" s="795"/>
      <c r="K131" s="798"/>
      <c r="L131" s="795"/>
      <c r="M131" s="795"/>
      <c r="N131" s="798"/>
      <c r="O131" s="783">
        <f t="shared" ref="O131:Q131" si="174">L131</f>
        <v>0</v>
      </c>
      <c r="P131" s="795">
        <f t="shared" si="174"/>
        <v>0</v>
      </c>
      <c r="Q131" s="795">
        <f t="shared" si="174"/>
        <v>0</v>
      </c>
      <c r="R131" s="783">
        <f>SUM(O131:Q133)</f>
        <v>0</v>
      </c>
      <c r="S131" s="786">
        <f>R131</f>
        <v>0</v>
      </c>
      <c r="T131" s="287">
        <v>0</v>
      </c>
      <c r="U131" s="783">
        <f>S131-T131-T132-T133</f>
        <v>0</v>
      </c>
      <c r="V131" s="789">
        <f>S131*0.8</f>
        <v>0</v>
      </c>
      <c r="W131" s="287"/>
      <c r="X131" s="783">
        <f>V131-W131-W132-W133</f>
        <v>0</v>
      </c>
      <c r="Y131" s="783">
        <f t="shared" ref="Y131" si="175">S131*0.17/1.065</f>
        <v>0</v>
      </c>
      <c r="Z131" s="287"/>
      <c r="AA131" s="287"/>
      <c r="AB131" s="783">
        <f t="shared" ref="AB131" si="176">V131*0.2/1.065</f>
        <v>0</v>
      </c>
      <c r="AC131" s="287"/>
      <c r="AD131" s="287"/>
      <c r="AE131" s="278" t="s">
        <v>590</v>
      </c>
      <c r="AF131" s="278" t="s">
        <v>749</v>
      </c>
      <c r="AG131" s="290">
        <f>0.5*2500</f>
        <v>1250</v>
      </c>
      <c r="AH131" s="792">
        <f>V131-Y131-AB131-AG131-AG132-AG133</f>
        <v>-4850</v>
      </c>
      <c r="AI131" s="774" t="s">
        <v>1050</v>
      </c>
      <c r="AJ131" s="43"/>
    </row>
    <row r="132" spans="1:36" ht="24.95" customHeight="1" x14ac:dyDescent="0.2">
      <c r="A132" s="947"/>
      <c r="B132" s="881"/>
      <c r="C132" s="942"/>
      <c r="D132" s="821"/>
      <c r="E132" s="863"/>
      <c r="F132" s="896"/>
      <c r="G132" s="270"/>
      <c r="H132" s="270"/>
      <c r="I132" s="877"/>
      <c r="J132" s="796"/>
      <c r="K132" s="799"/>
      <c r="L132" s="796"/>
      <c r="M132" s="796"/>
      <c r="N132" s="799"/>
      <c r="O132" s="784"/>
      <c r="P132" s="796"/>
      <c r="Q132" s="796"/>
      <c r="R132" s="784"/>
      <c r="S132" s="787"/>
      <c r="T132" s="287">
        <v>0</v>
      </c>
      <c r="U132" s="784"/>
      <c r="V132" s="790"/>
      <c r="W132" s="287"/>
      <c r="X132" s="784"/>
      <c r="Y132" s="784"/>
      <c r="Z132" s="287"/>
      <c r="AA132" s="287"/>
      <c r="AB132" s="784"/>
      <c r="AC132" s="287"/>
      <c r="AD132" s="287"/>
      <c r="AE132" s="278" t="s">
        <v>590</v>
      </c>
      <c r="AF132" s="278" t="s">
        <v>592</v>
      </c>
      <c r="AG132" s="290">
        <f>(14+10)*150</f>
        <v>3600</v>
      </c>
      <c r="AH132" s="793"/>
      <c r="AI132" s="775"/>
      <c r="AJ132" s="43"/>
    </row>
    <row r="133" spans="1:36" ht="24.95" customHeight="1" x14ac:dyDescent="0.2">
      <c r="A133" s="948"/>
      <c r="B133" s="882"/>
      <c r="C133" s="943"/>
      <c r="D133" s="880"/>
      <c r="E133" s="894"/>
      <c r="F133" s="897"/>
      <c r="G133" s="270"/>
      <c r="H133" s="270"/>
      <c r="I133" s="878"/>
      <c r="J133" s="797"/>
      <c r="K133" s="800"/>
      <c r="L133" s="797"/>
      <c r="M133" s="797"/>
      <c r="N133" s="800"/>
      <c r="O133" s="785"/>
      <c r="P133" s="797"/>
      <c r="Q133" s="797"/>
      <c r="R133" s="785"/>
      <c r="S133" s="788"/>
      <c r="T133" s="287">
        <v>0</v>
      </c>
      <c r="U133" s="785"/>
      <c r="V133" s="791"/>
      <c r="W133" s="287"/>
      <c r="X133" s="785"/>
      <c r="Y133" s="785"/>
      <c r="Z133" s="287"/>
      <c r="AA133" s="287"/>
      <c r="AB133" s="785"/>
      <c r="AC133" s="287"/>
      <c r="AD133" s="287"/>
      <c r="AE133" s="277"/>
      <c r="AF133" s="277"/>
      <c r="AG133" s="288"/>
      <c r="AH133" s="794"/>
      <c r="AI133" s="776"/>
      <c r="AJ133" s="43"/>
    </row>
    <row r="134" spans="1:36" ht="24.95" customHeight="1" x14ac:dyDescent="0.2">
      <c r="A134" s="944">
        <v>16</v>
      </c>
      <c r="B134" s="928" t="s">
        <v>996</v>
      </c>
      <c r="C134" s="941">
        <v>2024.9</v>
      </c>
      <c r="D134" s="821" t="s">
        <v>929</v>
      </c>
      <c r="E134" s="884" t="s">
        <v>930</v>
      </c>
      <c r="F134" s="822" t="s">
        <v>986</v>
      </c>
      <c r="G134" s="270" t="s">
        <v>651</v>
      </c>
      <c r="H134" s="270" t="s">
        <v>933</v>
      </c>
      <c r="I134" s="798"/>
      <c r="J134" s="798"/>
      <c r="K134" s="795">
        <v>80000</v>
      </c>
      <c r="L134" s="798"/>
      <c r="M134" s="798"/>
      <c r="N134" s="795">
        <v>0</v>
      </c>
      <c r="O134" s="783">
        <f t="shared" ref="O134" si="177">L134</f>
        <v>0</v>
      </c>
      <c r="P134" s="795">
        <f t="shared" ref="P134" si="178">M134</f>
        <v>0</v>
      </c>
      <c r="Q134" s="795">
        <f t="shared" ref="Q134" si="179">N134</f>
        <v>0</v>
      </c>
      <c r="R134" s="783">
        <f>SUM(O134:Q136)</f>
        <v>0</v>
      </c>
      <c r="S134" s="786">
        <f>R134</f>
        <v>0</v>
      </c>
      <c r="T134" s="287">
        <v>0</v>
      </c>
      <c r="U134" s="783">
        <f>S134-T134-T135-T136</f>
        <v>0</v>
      </c>
      <c r="V134" s="789">
        <f>S134*0.8</f>
        <v>0</v>
      </c>
      <c r="W134" s="287"/>
      <c r="X134" s="783">
        <f>V134-W134-W135-W136</f>
        <v>0</v>
      </c>
      <c r="Y134" s="783">
        <f t="shared" ref="Y134" si="180">S134*0.17/1.065</f>
        <v>0</v>
      </c>
      <c r="Z134" s="287"/>
      <c r="AA134" s="287"/>
      <c r="AB134" s="783">
        <f t="shared" ref="AB134" si="181">V134*0.2/1.065</f>
        <v>0</v>
      </c>
      <c r="AC134" s="287"/>
      <c r="AD134" s="287"/>
      <c r="AE134" s="278"/>
      <c r="AF134" s="278"/>
      <c r="AG134" s="290"/>
      <c r="AH134" s="792">
        <f>V134-Y134-AB134-AG134-AG135-AG136</f>
        <v>0</v>
      </c>
      <c r="AI134" s="774"/>
      <c r="AJ134" s="43"/>
    </row>
    <row r="135" spans="1:36" ht="24.95" customHeight="1" x14ac:dyDescent="0.2">
      <c r="A135" s="947"/>
      <c r="B135" s="949"/>
      <c r="C135" s="942"/>
      <c r="D135" s="821"/>
      <c r="E135" s="884"/>
      <c r="F135" s="822"/>
      <c r="G135" s="270" t="s">
        <v>817</v>
      </c>
      <c r="H135" s="270" t="s">
        <v>932</v>
      </c>
      <c r="I135" s="799"/>
      <c r="J135" s="799"/>
      <c r="K135" s="796"/>
      <c r="L135" s="799"/>
      <c r="M135" s="799"/>
      <c r="N135" s="796"/>
      <c r="O135" s="784"/>
      <c r="P135" s="796"/>
      <c r="Q135" s="796"/>
      <c r="R135" s="784"/>
      <c r="S135" s="787"/>
      <c r="T135" s="287">
        <v>0</v>
      </c>
      <c r="U135" s="784"/>
      <c r="V135" s="790"/>
      <c r="W135" s="287"/>
      <c r="X135" s="784"/>
      <c r="Y135" s="784"/>
      <c r="Z135" s="287"/>
      <c r="AA135" s="287"/>
      <c r="AB135" s="784"/>
      <c r="AC135" s="287"/>
      <c r="AD135" s="287"/>
      <c r="AE135" s="278"/>
      <c r="AF135" s="278"/>
      <c r="AG135" s="290"/>
      <c r="AH135" s="793"/>
      <c r="AI135" s="775"/>
      <c r="AJ135" s="43"/>
    </row>
    <row r="136" spans="1:36" ht="24.95" customHeight="1" x14ac:dyDescent="0.2">
      <c r="A136" s="948"/>
      <c r="B136" s="950"/>
      <c r="C136" s="943"/>
      <c r="D136" s="880"/>
      <c r="E136" s="884"/>
      <c r="F136" s="822"/>
      <c r="G136" s="270" t="s">
        <v>818</v>
      </c>
      <c r="H136" s="270" t="s">
        <v>585</v>
      </c>
      <c r="I136" s="800"/>
      <c r="J136" s="800"/>
      <c r="K136" s="797"/>
      <c r="L136" s="800"/>
      <c r="M136" s="800"/>
      <c r="N136" s="797"/>
      <c r="O136" s="785"/>
      <c r="P136" s="797"/>
      <c r="Q136" s="797"/>
      <c r="R136" s="785"/>
      <c r="S136" s="788"/>
      <c r="T136" s="287">
        <v>0</v>
      </c>
      <c r="U136" s="785"/>
      <c r="V136" s="791"/>
      <c r="W136" s="287"/>
      <c r="X136" s="785"/>
      <c r="Y136" s="785"/>
      <c r="Z136" s="287"/>
      <c r="AA136" s="287"/>
      <c r="AB136" s="785"/>
      <c r="AC136" s="286"/>
      <c r="AD136" s="286"/>
      <c r="AE136" s="279"/>
      <c r="AF136" s="279"/>
      <c r="AG136" s="291"/>
      <c r="AH136" s="794"/>
      <c r="AI136" s="776"/>
      <c r="AJ136" s="43"/>
    </row>
    <row r="137" spans="1:36" ht="24.95" customHeight="1" x14ac:dyDescent="0.2">
      <c r="A137" s="935">
        <v>17</v>
      </c>
      <c r="B137" s="880" t="s">
        <v>969</v>
      </c>
      <c r="C137" s="941">
        <v>2024.9</v>
      </c>
      <c r="D137" s="821" t="s">
        <v>995</v>
      </c>
      <c r="E137" s="884" t="s">
        <v>930</v>
      </c>
      <c r="F137" s="822" t="s">
        <v>987</v>
      </c>
      <c r="G137" s="270" t="s">
        <v>651</v>
      </c>
      <c r="H137" s="270" t="s">
        <v>970</v>
      </c>
      <c r="I137" s="798"/>
      <c r="J137" s="798"/>
      <c r="K137" s="795">
        <v>380000</v>
      </c>
      <c r="L137" s="798"/>
      <c r="M137" s="798"/>
      <c r="N137" s="795">
        <f>K137</f>
        <v>380000</v>
      </c>
      <c r="O137" s="783">
        <f t="shared" ref="O137" si="182">L137</f>
        <v>0</v>
      </c>
      <c r="P137" s="795">
        <f t="shared" ref="P137" si="183">M137</f>
        <v>0</v>
      </c>
      <c r="Q137" s="795">
        <f t="shared" ref="Q137" si="184">N137</f>
        <v>380000</v>
      </c>
      <c r="R137" s="783">
        <f>SUM(O137:Q139)</f>
        <v>380000</v>
      </c>
      <c r="S137" s="786">
        <f>R137</f>
        <v>380000</v>
      </c>
      <c r="T137" s="287">
        <v>0</v>
      </c>
      <c r="U137" s="783">
        <f>S137-T137-T138-T139</f>
        <v>380000</v>
      </c>
      <c r="V137" s="789">
        <f>S137*0.8</f>
        <v>304000</v>
      </c>
      <c r="W137" s="287"/>
      <c r="X137" s="783">
        <f>V137-W137-W138-W139</f>
        <v>304000</v>
      </c>
      <c r="Y137" s="783">
        <f t="shared" ref="Y137" si="185">S137*0.17/1.065</f>
        <v>60657.276995305176</v>
      </c>
      <c r="Z137" s="287"/>
      <c r="AA137" s="287"/>
      <c r="AB137" s="783">
        <f t="shared" ref="AB137" si="186">V137*0.2/1.065</f>
        <v>57089.201877934276</v>
      </c>
      <c r="AC137" s="287"/>
      <c r="AD137" s="287"/>
      <c r="AE137" s="278"/>
      <c r="AF137" s="278"/>
      <c r="AG137" s="290"/>
      <c r="AH137" s="792">
        <f>V137-Y137-AB137-AG137-AG138-AG139</f>
        <v>186253.52112676055</v>
      </c>
      <c r="AI137" s="774"/>
      <c r="AJ137" s="43"/>
    </row>
    <row r="138" spans="1:36" ht="24.95" customHeight="1" x14ac:dyDescent="0.2">
      <c r="A138" s="935"/>
      <c r="B138" s="881"/>
      <c r="C138" s="942"/>
      <c r="D138" s="821"/>
      <c r="E138" s="884"/>
      <c r="F138" s="822"/>
      <c r="G138" s="270" t="s">
        <v>817</v>
      </c>
      <c r="H138" s="270" t="s">
        <v>971</v>
      </c>
      <c r="I138" s="799"/>
      <c r="J138" s="799"/>
      <c r="K138" s="796"/>
      <c r="L138" s="799"/>
      <c r="M138" s="799"/>
      <c r="N138" s="796"/>
      <c r="O138" s="784"/>
      <c r="P138" s="796"/>
      <c r="Q138" s="796"/>
      <c r="R138" s="784"/>
      <c r="S138" s="787"/>
      <c r="T138" s="287">
        <v>0</v>
      </c>
      <c r="U138" s="784"/>
      <c r="V138" s="790"/>
      <c r="W138" s="287"/>
      <c r="X138" s="784"/>
      <c r="Y138" s="784"/>
      <c r="Z138" s="287"/>
      <c r="AA138" s="287"/>
      <c r="AB138" s="784"/>
      <c r="AC138" s="287"/>
      <c r="AD138" s="287"/>
      <c r="AE138" s="278"/>
      <c r="AF138" s="278"/>
      <c r="AG138" s="290"/>
      <c r="AH138" s="793"/>
      <c r="AI138" s="775"/>
      <c r="AJ138" s="43"/>
    </row>
    <row r="139" spans="1:36" ht="24.95" customHeight="1" x14ac:dyDescent="0.2">
      <c r="A139" s="935"/>
      <c r="B139" s="882"/>
      <c r="C139" s="943"/>
      <c r="D139" s="880"/>
      <c r="E139" s="884"/>
      <c r="F139" s="822"/>
      <c r="G139" s="270" t="s">
        <v>818</v>
      </c>
      <c r="H139" s="270" t="s">
        <v>585</v>
      </c>
      <c r="I139" s="800"/>
      <c r="J139" s="800"/>
      <c r="K139" s="797"/>
      <c r="L139" s="800"/>
      <c r="M139" s="800"/>
      <c r="N139" s="797"/>
      <c r="O139" s="785"/>
      <c r="P139" s="797"/>
      <c r="Q139" s="797"/>
      <c r="R139" s="785"/>
      <c r="S139" s="788"/>
      <c r="T139" s="287">
        <v>0</v>
      </c>
      <c r="U139" s="785"/>
      <c r="V139" s="791"/>
      <c r="W139" s="287"/>
      <c r="X139" s="785"/>
      <c r="Y139" s="785"/>
      <c r="Z139" s="287"/>
      <c r="AA139" s="287"/>
      <c r="AB139" s="785"/>
      <c r="AC139" s="286"/>
      <c r="AD139" s="286"/>
      <c r="AE139" s="279"/>
      <c r="AF139" s="279"/>
      <c r="AG139" s="291"/>
      <c r="AH139" s="794"/>
      <c r="AI139" s="776"/>
      <c r="AJ139" s="43"/>
    </row>
    <row r="140" spans="1:36" ht="24.95" customHeight="1" x14ac:dyDescent="0.2">
      <c r="A140" s="935">
        <v>18</v>
      </c>
      <c r="B140" s="821" t="s">
        <v>972</v>
      </c>
      <c r="C140" s="936">
        <v>2024.9</v>
      </c>
      <c r="D140" s="821" t="s">
        <v>992</v>
      </c>
      <c r="E140" s="884" t="s">
        <v>930</v>
      </c>
      <c r="F140" s="822" t="s">
        <v>988</v>
      </c>
      <c r="G140" s="270" t="s">
        <v>651</v>
      </c>
      <c r="H140" s="270" t="s">
        <v>1005</v>
      </c>
      <c r="I140" s="937"/>
      <c r="J140" s="937"/>
      <c r="K140" s="939">
        <f>4*80000+2*70000</f>
        <v>460000</v>
      </c>
      <c r="L140" s="937"/>
      <c r="M140" s="937"/>
      <c r="N140" s="939">
        <f>K140</f>
        <v>460000</v>
      </c>
      <c r="O140" s="931">
        <f t="shared" ref="O140" si="187">L140</f>
        <v>0</v>
      </c>
      <c r="P140" s="939">
        <f t="shared" ref="P140" si="188">M140</f>
        <v>0</v>
      </c>
      <c r="Q140" s="939">
        <f t="shared" ref="Q140" si="189">N140</f>
        <v>460000</v>
      </c>
      <c r="R140" s="931">
        <f>SUM(O140:Q142)</f>
        <v>460000</v>
      </c>
      <c r="S140" s="940">
        <f>R140</f>
        <v>460000</v>
      </c>
      <c r="T140" s="287">
        <v>0</v>
      </c>
      <c r="U140" s="931">
        <f>S140-T140-T141-T142</f>
        <v>460000</v>
      </c>
      <c r="V140" s="932">
        <f>S140*0.8</f>
        <v>368000</v>
      </c>
      <c r="W140" s="287"/>
      <c r="X140" s="931">
        <f>V140-W140-W141-W142</f>
        <v>368000</v>
      </c>
      <c r="Y140" s="931">
        <f t="shared" ref="Y140" si="190">S140*0.17/1.065</f>
        <v>73427.23004694836</v>
      </c>
      <c r="Z140" s="287"/>
      <c r="AA140" s="287"/>
      <c r="AB140" s="931">
        <f t="shared" ref="AB140" si="191">V140*0.2/1.065</f>
        <v>69107.981220657282</v>
      </c>
      <c r="AC140" s="287"/>
      <c r="AD140" s="287"/>
      <c r="AE140" s="278"/>
      <c r="AF140" s="278"/>
      <c r="AG140" s="290"/>
      <c r="AH140" s="933">
        <f>V140-Y140-AB140-AG140-AG141-AG142</f>
        <v>225464.78873239434</v>
      </c>
      <c r="AI140" s="934"/>
      <c r="AJ140" s="43"/>
    </row>
    <row r="141" spans="1:36" ht="24.95" customHeight="1" x14ac:dyDescent="0.2">
      <c r="A141" s="935"/>
      <c r="B141" s="821"/>
      <c r="C141" s="936"/>
      <c r="D141" s="821"/>
      <c r="E141" s="884"/>
      <c r="F141" s="822"/>
      <c r="G141" s="270" t="s">
        <v>817</v>
      </c>
      <c r="H141" s="270" t="s">
        <v>973</v>
      </c>
      <c r="I141" s="937"/>
      <c r="J141" s="937"/>
      <c r="K141" s="939"/>
      <c r="L141" s="937"/>
      <c r="M141" s="937"/>
      <c r="N141" s="939"/>
      <c r="O141" s="931"/>
      <c r="P141" s="939"/>
      <c r="Q141" s="939"/>
      <c r="R141" s="931"/>
      <c r="S141" s="940"/>
      <c r="T141" s="287">
        <v>0</v>
      </c>
      <c r="U141" s="931"/>
      <c r="V141" s="932"/>
      <c r="W141" s="287"/>
      <c r="X141" s="931"/>
      <c r="Y141" s="931"/>
      <c r="Z141" s="287"/>
      <c r="AA141" s="287"/>
      <c r="AB141" s="931"/>
      <c r="AC141" s="287"/>
      <c r="AD141" s="287"/>
      <c r="AE141" s="278"/>
      <c r="AF141" s="278"/>
      <c r="AG141" s="290"/>
      <c r="AH141" s="933"/>
      <c r="AI141" s="934"/>
      <c r="AJ141" s="43"/>
    </row>
    <row r="142" spans="1:36" ht="24.95" customHeight="1" x14ac:dyDescent="0.2">
      <c r="A142" s="935"/>
      <c r="B142" s="821"/>
      <c r="C142" s="936"/>
      <c r="D142" s="821"/>
      <c r="E142" s="884"/>
      <c r="F142" s="822"/>
      <c r="G142" s="270" t="s">
        <v>818</v>
      </c>
      <c r="H142" s="270" t="s">
        <v>585</v>
      </c>
      <c r="I142" s="937"/>
      <c r="J142" s="937"/>
      <c r="K142" s="939"/>
      <c r="L142" s="937"/>
      <c r="M142" s="937"/>
      <c r="N142" s="939"/>
      <c r="O142" s="931"/>
      <c r="P142" s="939"/>
      <c r="Q142" s="939"/>
      <c r="R142" s="931"/>
      <c r="S142" s="940"/>
      <c r="T142" s="287">
        <v>0</v>
      </c>
      <c r="U142" s="931"/>
      <c r="V142" s="932"/>
      <c r="W142" s="287"/>
      <c r="X142" s="931"/>
      <c r="Y142" s="931"/>
      <c r="Z142" s="287"/>
      <c r="AA142" s="287"/>
      <c r="AB142" s="931"/>
      <c r="AC142" s="287"/>
      <c r="AD142" s="287"/>
      <c r="AE142" s="278"/>
      <c r="AF142" s="278"/>
      <c r="AG142" s="290"/>
      <c r="AH142" s="933"/>
      <c r="AI142" s="934"/>
      <c r="AJ142" s="43"/>
    </row>
    <row r="143" spans="1:36" ht="24.95" customHeight="1" x14ac:dyDescent="0.2">
      <c r="A143" s="935">
        <v>19</v>
      </c>
      <c r="B143" s="821" t="s">
        <v>974</v>
      </c>
      <c r="C143" s="936">
        <v>2024.6</v>
      </c>
      <c r="D143" s="821" t="s">
        <v>977</v>
      </c>
      <c r="E143" s="884" t="s">
        <v>930</v>
      </c>
      <c r="F143" s="822" t="s">
        <v>989</v>
      </c>
      <c r="G143" s="270" t="s">
        <v>651</v>
      </c>
      <c r="H143" s="270" t="s">
        <v>975</v>
      </c>
      <c r="I143" s="937"/>
      <c r="J143" s="937"/>
      <c r="K143" s="939">
        <v>50000</v>
      </c>
      <c r="L143" s="937"/>
      <c r="M143" s="937"/>
      <c r="N143" s="939">
        <v>50000</v>
      </c>
      <c r="O143" s="931">
        <f t="shared" ref="O143" si="192">L143</f>
        <v>0</v>
      </c>
      <c r="P143" s="939">
        <f t="shared" ref="P143" si="193">M143</f>
        <v>0</v>
      </c>
      <c r="Q143" s="939">
        <f t="shared" ref="Q143" si="194">N143</f>
        <v>50000</v>
      </c>
      <c r="R143" s="931">
        <f>SUM(O143:Q145)</f>
        <v>50000</v>
      </c>
      <c r="S143" s="940">
        <f>R143</f>
        <v>50000</v>
      </c>
      <c r="T143" s="287">
        <v>0</v>
      </c>
      <c r="U143" s="931">
        <f>S143-T143-T144-T145</f>
        <v>50000</v>
      </c>
      <c r="V143" s="932">
        <f>S143*0.8</f>
        <v>40000</v>
      </c>
      <c r="W143" s="287"/>
      <c r="X143" s="931">
        <f>V143-W143-W144-W145</f>
        <v>40000</v>
      </c>
      <c r="Y143" s="931">
        <f t="shared" ref="Y143" si="195">S143*0.17/1.065</f>
        <v>7981.2206572769956</v>
      </c>
      <c r="Z143" s="287"/>
      <c r="AA143" s="287"/>
      <c r="AB143" s="931">
        <f t="shared" ref="AB143" si="196">V143*0.2/1.065</f>
        <v>7511.737089201878</v>
      </c>
      <c r="AC143" s="287"/>
      <c r="AD143" s="287"/>
      <c r="AE143" s="278"/>
      <c r="AF143" s="278"/>
      <c r="AG143" s="290"/>
      <c r="AH143" s="933">
        <f>V143-Y143-AB143-AG143-AG144-AG145</f>
        <v>24507.042253521129</v>
      </c>
      <c r="AI143" s="934"/>
      <c r="AJ143" s="43"/>
    </row>
    <row r="144" spans="1:36" ht="24.95" customHeight="1" x14ac:dyDescent="0.2">
      <c r="A144" s="935"/>
      <c r="B144" s="821"/>
      <c r="C144" s="936"/>
      <c r="D144" s="821"/>
      <c r="E144" s="884"/>
      <c r="F144" s="822"/>
      <c r="G144" s="270" t="s">
        <v>817</v>
      </c>
      <c r="H144" s="270" t="s">
        <v>976</v>
      </c>
      <c r="I144" s="937"/>
      <c r="J144" s="937"/>
      <c r="K144" s="939"/>
      <c r="L144" s="937"/>
      <c r="M144" s="937"/>
      <c r="N144" s="939"/>
      <c r="O144" s="931"/>
      <c r="P144" s="939"/>
      <c r="Q144" s="939"/>
      <c r="R144" s="931"/>
      <c r="S144" s="940"/>
      <c r="T144" s="287">
        <v>0</v>
      </c>
      <c r="U144" s="931"/>
      <c r="V144" s="932"/>
      <c r="W144" s="287"/>
      <c r="X144" s="931"/>
      <c r="Y144" s="931"/>
      <c r="Z144" s="287"/>
      <c r="AA144" s="287"/>
      <c r="AB144" s="931"/>
      <c r="AC144" s="287"/>
      <c r="AD144" s="287"/>
      <c r="AE144" s="278"/>
      <c r="AF144" s="278"/>
      <c r="AG144" s="290"/>
      <c r="AH144" s="933"/>
      <c r="AI144" s="934"/>
      <c r="AJ144" s="43"/>
    </row>
    <row r="145" spans="1:36" ht="24.95" customHeight="1" x14ac:dyDescent="0.2">
      <c r="A145" s="935"/>
      <c r="B145" s="821"/>
      <c r="C145" s="936"/>
      <c r="D145" s="821"/>
      <c r="E145" s="884"/>
      <c r="F145" s="822"/>
      <c r="G145" s="270" t="s">
        <v>818</v>
      </c>
      <c r="H145" s="270" t="s">
        <v>639</v>
      </c>
      <c r="I145" s="937"/>
      <c r="J145" s="937"/>
      <c r="K145" s="939"/>
      <c r="L145" s="937"/>
      <c r="M145" s="937"/>
      <c r="N145" s="939"/>
      <c r="O145" s="931"/>
      <c r="P145" s="939"/>
      <c r="Q145" s="939"/>
      <c r="R145" s="931"/>
      <c r="S145" s="940"/>
      <c r="T145" s="287">
        <v>0</v>
      </c>
      <c r="U145" s="931"/>
      <c r="V145" s="932"/>
      <c r="W145" s="287"/>
      <c r="X145" s="931"/>
      <c r="Y145" s="931"/>
      <c r="Z145" s="287"/>
      <c r="AA145" s="287"/>
      <c r="AB145" s="931"/>
      <c r="AC145" s="287"/>
      <c r="AD145" s="287"/>
      <c r="AE145" s="278"/>
      <c r="AF145" s="278"/>
      <c r="AG145" s="290"/>
      <c r="AH145" s="933"/>
      <c r="AI145" s="934"/>
      <c r="AJ145" s="43"/>
    </row>
    <row r="146" spans="1:36" ht="24.95" customHeight="1" x14ac:dyDescent="0.2">
      <c r="A146" s="935">
        <v>20</v>
      </c>
      <c r="B146" s="821" t="s">
        <v>978</v>
      </c>
      <c r="C146" s="936">
        <v>2024.8</v>
      </c>
      <c r="D146" s="821" t="s">
        <v>979</v>
      </c>
      <c r="E146" s="884" t="s">
        <v>930</v>
      </c>
      <c r="F146" s="822" t="s">
        <v>990</v>
      </c>
      <c r="G146" s="270" t="s">
        <v>651</v>
      </c>
      <c r="H146" s="270" t="s">
        <v>980</v>
      </c>
      <c r="I146" s="939">
        <v>374585</v>
      </c>
      <c r="J146" s="937"/>
      <c r="K146" s="937"/>
      <c r="L146" s="938">
        <f>I146</f>
        <v>374585</v>
      </c>
      <c r="M146" s="937"/>
      <c r="N146" s="937"/>
      <c r="O146" s="931">
        <f t="shared" ref="O146" si="197">L146</f>
        <v>374585</v>
      </c>
      <c r="P146" s="939">
        <f t="shared" ref="P146" si="198">M146</f>
        <v>0</v>
      </c>
      <c r="Q146" s="939">
        <f t="shared" ref="Q146" si="199">N146</f>
        <v>0</v>
      </c>
      <c r="R146" s="931">
        <f t="shared" ref="R146" si="200">SUM(O146:Q148)</f>
        <v>374585</v>
      </c>
      <c r="S146" s="940">
        <f t="shared" ref="S146" si="201">R146</f>
        <v>374585</v>
      </c>
      <c r="T146" s="287">
        <v>0</v>
      </c>
      <c r="U146" s="931">
        <f t="shared" ref="U146" si="202">S146-T146-T147-T148</f>
        <v>374585</v>
      </c>
      <c r="V146" s="932">
        <f t="shared" ref="V146" si="203">S146*0.8</f>
        <v>299668</v>
      </c>
      <c r="W146" s="289"/>
      <c r="X146" s="931">
        <f t="shared" ref="X146" si="204">V146-W146-W147-W148</f>
        <v>299668</v>
      </c>
      <c r="Y146" s="931">
        <f t="shared" ref="Y146" si="205">S146*0.17/1.065</f>
        <v>59792.910798122073</v>
      </c>
      <c r="Z146" s="289"/>
      <c r="AA146" s="289"/>
      <c r="AB146" s="931">
        <f t="shared" ref="AB146:AB152" si="206">V146*0.2/1.065</f>
        <v>56275.680751173721</v>
      </c>
      <c r="AC146" s="289"/>
      <c r="AD146" s="289"/>
      <c r="AE146" s="280"/>
      <c r="AF146" s="280"/>
      <c r="AG146" s="293"/>
      <c r="AH146" s="933">
        <f t="shared" ref="AH146" si="207">V146-Y146-AB146-AG146-AG147-AG148</f>
        <v>183599.40845070421</v>
      </c>
      <c r="AI146" s="934"/>
      <c r="AJ146" s="43"/>
    </row>
    <row r="147" spans="1:36" ht="24.95" customHeight="1" x14ac:dyDescent="0.2">
      <c r="A147" s="935"/>
      <c r="B147" s="821"/>
      <c r="C147" s="936"/>
      <c r="D147" s="821"/>
      <c r="E147" s="884"/>
      <c r="F147" s="822"/>
      <c r="G147" s="270" t="s">
        <v>817</v>
      </c>
      <c r="H147" s="270" t="s">
        <v>981</v>
      </c>
      <c r="I147" s="939"/>
      <c r="J147" s="937"/>
      <c r="K147" s="937"/>
      <c r="L147" s="938"/>
      <c r="M147" s="937"/>
      <c r="N147" s="937"/>
      <c r="O147" s="931"/>
      <c r="P147" s="939"/>
      <c r="Q147" s="939"/>
      <c r="R147" s="931"/>
      <c r="S147" s="940"/>
      <c r="T147" s="287">
        <v>0</v>
      </c>
      <c r="U147" s="931"/>
      <c r="V147" s="932"/>
      <c r="W147" s="289"/>
      <c r="X147" s="931"/>
      <c r="Y147" s="931"/>
      <c r="Z147" s="289"/>
      <c r="AA147" s="289"/>
      <c r="AB147" s="931"/>
      <c r="AC147" s="289"/>
      <c r="AD147" s="289"/>
      <c r="AE147" s="280"/>
      <c r="AF147" s="280"/>
      <c r="AG147" s="293"/>
      <c r="AH147" s="933"/>
      <c r="AI147" s="934"/>
      <c r="AJ147" s="43"/>
    </row>
    <row r="148" spans="1:36" ht="24.95" customHeight="1" x14ac:dyDescent="0.2">
      <c r="A148" s="935"/>
      <c r="B148" s="821"/>
      <c r="C148" s="936"/>
      <c r="D148" s="821"/>
      <c r="E148" s="884"/>
      <c r="F148" s="822"/>
      <c r="G148" s="270" t="s">
        <v>818</v>
      </c>
      <c r="H148" s="270" t="s">
        <v>585</v>
      </c>
      <c r="I148" s="939"/>
      <c r="J148" s="937"/>
      <c r="K148" s="937"/>
      <c r="L148" s="938"/>
      <c r="M148" s="937"/>
      <c r="N148" s="937"/>
      <c r="O148" s="931"/>
      <c r="P148" s="939"/>
      <c r="Q148" s="939"/>
      <c r="R148" s="931"/>
      <c r="S148" s="940"/>
      <c r="T148" s="287">
        <v>0</v>
      </c>
      <c r="U148" s="931"/>
      <c r="V148" s="932"/>
      <c r="W148" s="289"/>
      <c r="X148" s="931"/>
      <c r="Y148" s="931"/>
      <c r="Z148" s="289"/>
      <c r="AA148" s="289"/>
      <c r="AB148" s="931"/>
      <c r="AC148" s="289"/>
      <c r="AD148" s="289"/>
      <c r="AE148" s="280"/>
      <c r="AF148" s="280"/>
      <c r="AG148" s="293"/>
      <c r="AH148" s="933"/>
      <c r="AI148" s="934"/>
      <c r="AJ148" s="43"/>
    </row>
    <row r="149" spans="1:36" ht="24.95" customHeight="1" x14ac:dyDescent="0.2">
      <c r="A149" s="935">
        <v>21</v>
      </c>
      <c r="B149" s="821" t="s">
        <v>982</v>
      </c>
      <c r="C149" s="936" t="s">
        <v>991</v>
      </c>
      <c r="D149" s="880"/>
      <c r="E149" s="884" t="s">
        <v>930</v>
      </c>
      <c r="F149" s="822" t="s">
        <v>985</v>
      </c>
      <c r="G149" s="313"/>
      <c r="H149" s="313"/>
      <c r="I149" s="937"/>
      <c r="J149" s="937"/>
      <c r="K149" s="938">
        <v>75000</v>
      </c>
      <c r="L149" s="937"/>
      <c r="M149" s="937"/>
      <c r="N149" s="938">
        <f>K149</f>
        <v>75000</v>
      </c>
      <c r="O149" s="931">
        <f t="shared" ref="O149" si="208">L149</f>
        <v>0</v>
      </c>
      <c r="P149" s="939">
        <f t="shared" ref="P149" si="209">M149</f>
        <v>0</v>
      </c>
      <c r="Q149" s="939">
        <f t="shared" ref="Q149" si="210">N149</f>
        <v>75000</v>
      </c>
      <c r="R149" s="931">
        <f t="shared" ref="R149" si="211">SUM(O149:Q151)</f>
        <v>75000</v>
      </c>
      <c r="S149" s="940">
        <f t="shared" ref="S149" si="212">R149</f>
        <v>75000</v>
      </c>
      <c r="T149" s="287">
        <v>0</v>
      </c>
      <c r="U149" s="931">
        <f t="shared" ref="U149" si="213">S149-T149-T150-T151</f>
        <v>75000</v>
      </c>
      <c r="V149" s="932">
        <f t="shared" ref="V149" si="214">S149*0.8</f>
        <v>60000</v>
      </c>
      <c r="W149" s="289"/>
      <c r="X149" s="931">
        <f t="shared" ref="X149" si="215">V149-W149-W150-W151</f>
        <v>60000</v>
      </c>
      <c r="Y149" s="931">
        <f t="shared" ref="Y149" si="216">S149*0.17/1.065</f>
        <v>11971.830985915496</v>
      </c>
      <c r="Z149" s="289"/>
      <c r="AA149" s="289"/>
      <c r="AB149" s="931">
        <f t="shared" si="206"/>
        <v>11267.605633802817</v>
      </c>
      <c r="AC149" s="289"/>
      <c r="AD149" s="289"/>
      <c r="AE149" s="280"/>
      <c r="AF149" s="280"/>
      <c r="AG149" s="293"/>
      <c r="AH149" s="933">
        <f t="shared" ref="AH149" si="217">V149-Y149-AB149-AG149-AG150-AG151</f>
        <v>36760.563380281688</v>
      </c>
      <c r="AI149" s="934"/>
      <c r="AJ149" s="43"/>
    </row>
    <row r="150" spans="1:36" ht="24.95" customHeight="1" x14ac:dyDescent="0.2">
      <c r="A150" s="935"/>
      <c r="B150" s="821"/>
      <c r="C150" s="936"/>
      <c r="D150" s="881"/>
      <c r="E150" s="884"/>
      <c r="F150" s="822"/>
      <c r="G150" s="313"/>
      <c r="H150" s="313"/>
      <c r="I150" s="937"/>
      <c r="J150" s="937"/>
      <c r="K150" s="938"/>
      <c r="L150" s="937"/>
      <c r="M150" s="937"/>
      <c r="N150" s="938"/>
      <c r="O150" s="931"/>
      <c r="P150" s="939"/>
      <c r="Q150" s="939"/>
      <c r="R150" s="931"/>
      <c r="S150" s="940"/>
      <c r="T150" s="287">
        <v>0</v>
      </c>
      <c r="U150" s="931"/>
      <c r="V150" s="932"/>
      <c r="W150" s="289"/>
      <c r="X150" s="931"/>
      <c r="Y150" s="931"/>
      <c r="Z150" s="289"/>
      <c r="AA150" s="289"/>
      <c r="AB150" s="931"/>
      <c r="AC150" s="289"/>
      <c r="AD150" s="289"/>
      <c r="AE150" s="280"/>
      <c r="AF150" s="280"/>
      <c r="AG150" s="293"/>
      <c r="AH150" s="933"/>
      <c r="AI150" s="934"/>
      <c r="AJ150" s="43"/>
    </row>
    <row r="151" spans="1:36" ht="24.95" customHeight="1" x14ac:dyDescent="0.2">
      <c r="A151" s="935"/>
      <c r="B151" s="821"/>
      <c r="C151" s="936"/>
      <c r="D151" s="882"/>
      <c r="E151" s="884"/>
      <c r="F151" s="822"/>
      <c r="G151" s="313"/>
      <c r="H151" s="313"/>
      <c r="I151" s="937"/>
      <c r="J151" s="937"/>
      <c r="K151" s="938"/>
      <c r="L151" s="937"/>
      <c r="M151" s="937"/>
      <c r="N151" s="938"/>
      <c r="O151" s="931"/>
      <c r="P151" s="939"/>
      <c r="Q151" s="939"/>
      <c r="R151" s="931"/>
      <c r="S151" s="940"/>
      <c r="T151" s="287">
        <v>0</v>
      </c>
      <c r="U151" s="931"/>
      <c r="V151" s="932"/>
      <c r="W151" s="289"/>
      <c r="X151" s="931"/>
      <c r="Y151" s="931"/>
      <c r="Z151" s="289"/>
      <c r="AA151" s="289"/>
      <c r="AB151" s="931"/>
      <c r="AC151" s="289"/>
      <c r="AD151" s="289"/>
      <c r="AE151" s="280"/>
      <c r="AF151" s="280"/>
      <c r="AG151" s="293"/>
      <c r="AH151" s="933"/>
      <c r="AI151" s="934"/>
      <c r="AJ151" s="43"/>
    </row>
    <row r="152" spans="1:36" ht="24.95" customHeight="1" x14ac:dyDescent="0.2">
      <c r="A152" s="935">
        <v>22</v>
      </c>
      <c r="B152" s="821" t="s">
        <v>983</v>
      </c>
      <c r="C152" s="936" t="s">
        <v>991</v>
      </c>
      <c r="D152" s="880" t="s">
        <v>984</v>
      </c>
      <c r="E152" s="884" t="s">
        <v>930</v>
      </c>
      <c r="F152" s="822" t="s">
        <v>1000</v>
      </c>
      <c r="G152" s="270" t="s">
        <v>651</v>
      </c>
      <c r="H152" s="270" t="s">
        <v>994</v>
      </c>
      <c r="I152" s="938">
        <v>78300</v>
      </c>
      <c r="J152" s="937"/>
      <c r="K152" s="937"/>
      <c r="L152" s="938">
        <f>I152</f>
        <v>78300</v>
      </c>
      <c r="M152" s="937"/>
      <c r="N152" s="937"/>
      <c r="O152" s="931">
        <f t="shared" ref="O152" si="218">L152</f>
        <v>78300</v>
      </c>
      <c r="P152" s="939">
        <f t="shared" ref="P152" si="219">M152</f>
        <v>0</v>
      </c>
      <c r="Q152" s="939">
        <f t="shared" ref="Q152" si="220">N152</f>
        <v>0</v>
      </c>
      <c r="R152" s="931">
        <f t="shared" ref="R152" si="221">SUM(O152:Q154)</f>
        <v>78300</v>
      </c>
      <c r="S152" s="940">
        <f t="shared" ref="S152" si="222">R152</f>
        <v>78300</v>
      </c>
      <c r="T152" s="287">
        <v>0</v>
      </c>
      <c r="U152" s="931">
        <f t="shared" ref="U152" si="223">S152-T152-T153-T154</f>
        <v>78300</v>
      </c>
      <c r="V152" s="932">
        <f t="shared" ref="V152" si="224">S152*0.8</f>
        <v>62640</v>
      </c>
      <c r="W152" s="289"/>
      <c r="X152" s="931">
        <f t="shared" ref="X152" si="225">V152-W152-W153-W154</f>
        <v>62640</v>
      </c>
      <c r="Y152" s="931">
        <f t="shared" ref="Y152" si="226">S152*0.17/1.065</f>
        <v>12498.591549295777</v>
      </c>
      <c r="Z152" s="289"/>
      <c r="AA152" s="289"/>
      <c r="AB152" s="931">
        <f t="shared" si="206"/>
        <v>11763.380281690141</v>
      </c>
      <c r="AC152" s="289"/>
      <c r="AD152" s="289"/>
      <c r="AE152" s="280"/>
      <c r="AF152" s="280"/>
      <c r="AG152" s="293"/>
      <c r="AH152" s="933">
        <f t="shared" ref="AH152" si="227">V152-Y152-AB152-AG152-AG153-AG154</f>
        <v>38378.028169014084</v>
      </c>
      <c r="AI152" s="934"/>
      <c r="AJ152" s="43"/>
    </row>
    <row r="153" spans="1:36" ht="24.95" customHeight="1" x14ac:dyDescent="0.2">
      <c r="A153" s="935"/>
      <c r="B153" s="821"/>
      <c r="C153" s="936"/>
      <c r="D153" s="881"/>
      <c r="E153" s="884"/>
      <c r="F153" s="822"/>
      <c r="G153" s="270" t="s">
        <v>817</v>
      </c>
      <c r="H153" s="270"/>
      <c r="I153" s="938"/>
      <c r="J153" s="937"/>
      <c r="K153" s="937"/>
      <c r="L153" s="938"/>
      <c r="M153" s="937"/>
      <c r="N153" s="937"/>
      <c r="O153" s="931"/>
      <c r="P153" s="939"/>
      <c r="Q153" s="939"/>
      <c r="R153" s="931"/>
      <c r="S153" s="940"/>
      <c r="T153" s="287">
        <v>0</v>
      </c>
      <c r="U153" s="931"/>
      <c r="V153" s="932"/>
      <c r="W153" s="289"/>
      <c r="X153" s="931"/>
      <c r="Y153" s="931"/>
      <c r="Z153" s="289"/>
      <c r="AA153" s="289"/>
      <c r="AB153" s="931"/>
      <c r="AC153" s="289"/>
      <c r="AD153" s="289"/>
      <c r="AE153" s="280"/>
      <c r="AF153" s="280"/>
      <c r="AG153" s="293"/>
      <c r="AH153" s="933"/>
      <c r="AI153" s="934"/>
      <c r="AJ153" s="43"/>
    </row>
    <row r="154" spans="1:36" ht="24.95" customHeight="1" x14ac:dyDescent="0.2">
      <c r="A154" s="944"/>
      <c r="B154" s="880"/>
      <c r="C154" s="941"/>
      <c r="D154" s="881"/>
      <c r="E154" s="862"/>
      <c r="F154" s="822"/>
      <c r="G154" s="270" t="s">
        <v>818</v>
      </c>
      <c r="H154" s="270" t="s">
        <v>585</v>
      </c>
      <c r="I154" s="938"/>
      <c r="J154" s="937"/>
      <c r="K154" s="937"/>
      <c r="L154" s="938"/>
      <c r="M154" s="937"/>
      <c r="N154" s="937"/>
      <c r="O154" s="783"/>
      <c r="P154" s="795"/>
      <c r="Q154" s="795"/>
      <c r="R154" s="783"/>
      <c r="S154" s="786"/>
      <c r="T154" s="286">
        <v>0</v>
      </c>
      <c r="U154" s="931"/>
      <c r="V154" s="932"/>
      <c r="W154" s="319"/>
      <c r="X154" s="931"/>
      <c r="Y154" s="931"/>
      <c r="Z154" s="319"/>
      <c r="AA154" s="319"/>
      <c r="AB154" s="931"/>
      <c r="AC154" s="319"/>
      <c r="AD154" s="319"/>
      <c r="AE154" s="320"/>
      <c r="AF154" s="320"/>
      <c r="AG154" s="321"/>
      <c r="AH154" s="933"/>
      <c r="AI154" s="934"/>
      <c r="AJ154" s="43"/>
    </row>
    <row r="155" spans="1:36" ht="24.95" customHeight="1" x14ac:dyDescent="0.2">
      <c r="A155" s="935">
        <v>23</v>
      </c>
      <c r="B155" s="821" t="s">
        <v>998</v>
      </c>
      <c r="C155" s="936" t="s">
        <v>991</v>
      </c>
      <c r="D155" s="821"/>
      <c r="E155" s="884" t="s">
        <v>999</v>
      </c>
      <c r="F155" s="822" t="s">
        <v>1008</v>
      </c>
      <c r="G155" s="270" t="s">
        <v>651</v>
      </c>
      <c r="H155" s="270"/>
      <c r="I155" s="937"/>
      <c r="J155" s="937"/>
      <c r="K155" s="938">
        <v>50000</v>
      </c>
      <c r="L155" s="937"/>
      <c r="M155" s="937"/>
      <c r="N155" s="939">
        <f>K155</f>
        <v>50000</v>
      </c>
      <c r="O155" s="931">
        <f t="shared" ref="O155" si="228">L155</f>
        <v>0</v>
      </c>
      <c r="P155" s="939">
        <f t="shared" ref="P155" si="229">M155</f>
        <v>0</v>
      </c>
      <c r="Q155" s="939">
        <f t="shared" ref="Q155" si="230">N155</f>
        <v>50000</v>
      </c>
      <c r="R155" s="931">
        <f>SUM(O155:Q157)</f>
        <v>50000</v>
      </c>
      <c r="S155" s="940">
        <f>R155</f>
        <v>50000</v>
      </c>
      <c r="T155" s="287">
        <v>0</v>
      </c>
      <c r="U155" s="931">
        <f>S155-T155-T156-T157</f>
        <v>50000</v>
      </c>
      <c r="V155" s="932">
        <f>S155*1</f>
        <v>50000</v>
      </c>
      <c r="W155" s="287"/>
      <c r="X155" s="931">
        <f>V155-W155-W156-W157</f>
        <v>50000</v>
      </c>
      <c r="Y155" s="931">
        <f t="shared" ref="Y155" si="231">S155*0.17/1.065</f>
        <v>7981.2206572769956</v>
      </c>
      <c r="Z155" s="287"/>
      <c r="AA155" s="287"/>
      <c r="AB155" s="931">
        <f t="shared" ref="AB155" si="232">V155*0.2/1.065</f>
        <v>9389.6713615023473</v>
      </c>
      <c r="AC155" s="287"/>
      <c r="AD155" s="287"/>
      <c r="AE155" s="278"/>
      <c r="AF155" s="278"/>
      <c r="AG155" s="290"/>
      <c r="AH155" s="933">
        <f>V155-Y155-AB155-AG155-AG156-AG157</f>
        <v>32629.107981220659</v>
      </c>
      <c r="AI155" s="934"/>
      <c r="AJ155" s="43"/>
    </row>
    <row r="156" spans="1:36" ht="24.95" customHeight="1" x14ac:dyDescent="0.2">
      <c r="A156" s="935"/>
      <c r="B156" s="821"/>
      <c r="C156" s="936"/>
      <c r="D156" s="821"/>
      <c r="E156" s="884"/>
      <c r="F156" s="822"/>
      <c r="G156" s="270" t="s">
        <v>817</v>
      </c>
      <c r="H156" s="270"/>
      <c r="I156" s="937"/>
      <c r="J156" s="937"/>
      <c r="K156" s="938"/>
      <c r="L156" s="937"/>
      <c r="M156" s="937"/>
      <c r="N156" s="939"/>
      <c r="O156" s="931"/>
      <c r="P156" s="939"/>
      <c r="Q156" s="939"/>
      <c r="R156" s="931"/>
      <c r="S156" s="940"/>
      <c r="T156" s="287">
        <v>0</v>
      </c>
      <c r="U156" s="931"/>
      <c r="V156" s="932"/>
      <c r="W156" s="287"/>
      <c r="X156" s="931"/>
      <c r="Y156" s="931"/>
      <c r="Z156" s="287"/>
      <c r="AA156" s="287"/>
      <c r="AB156" s="931"/>
      <c r="AC156" s="287"/>
      <c r="AD156" s="287"/>
      <c r="AE156" s="278"/>
      <c r="AF156" s="278"/>
      <c r="AG156" s="290"/>
      <c r="AH156" s="933"/>
      <c r="AI156" s="934"/>
      <c r="AJ156" s="43"/>
    </row>
    <row r="157" spans="1:36" ht="24.95" customHeight="1" x14ac:dyDescent="0.2">
      <c r="A157" s="935"/>
      <c r="B157" s="821"/>
      <c r="C157" s="941"/>
      <c r="D157" s="821"/>
      <c r="E157" s="862"/>
      <c r="F157" s="822"/>
      <c r="G157" s="270" t="s">
        <v>818</v>
      </c>
      <c r="H157" s="270" t="s">
        <v>1024</v>
      </c>
      <c r="I157" s="937"/>
      <c r="J157" s="937"/>
      <c r="K157" s="938"/>
      <c r="L157" s="937"/>
      <c r="M157" s="937"/>
      <c r="N157" s="939"/>
      <c r="O157" s="931"/>
      <c r="P157" s="939"/>
      <c r="Q157" s="939"/>
      <c r="R157" s="931"/>
      <c r="S157" s="940"/>
      <c r="T157" s="287">
        <v>0</v>
      </c>
      <c r="U157" s="931"/>
      <c r="V157" s="932"/>
      <c r="W157" s="287"/>
      <c r="X157" s="931"/>
      <c r="Y157" s="931"/>
      <c r="Z157" s="287"/>
      <c r="AA157" s="287"/>
      <c r="AB157" s="931"/>
      <c r="AC157" s="287"/>
      <c r="AD157" s="287"/>
      <c r="AE157" s="278"/>
      <c r="AF157" s="278"/>
      <c r="AG157" s="290"/>
      <c r="AH157" s="933"/>
      <c r="AI157" s="934"/>
      <c r="AJ157" s="43"/>
    </row>
    <row r="158" spans="1:36" ht="24.95" customHeight="1" x14ac:dyDescent="0.2">
      <c r="A158" s="944">
        <v>24</v>
      </c>
      <c r="B158" s="880" t="s">
        <v>1006</v>
      </c>
      <c r="C158" s="941" t="s">
        <v>991</v>
      </c>
      <c r="D158" s="821" t="s">
        <v>1048</v>
      </c>
      <c r="E158" s="901" t="s">
        <v>1007</v>
      </c>
      <c r="F158" s="891" t="s">
        <v>1009</v>
      </c>
      <c r="G158" s="270" t="s">
        <v>651</v>
      </c>
      <c r="H158" s="270" t="s">
        <v>820</v>
      </c>
      <c r="I158" s="938">
        <v>950000</v>
      </c>
      <c r="J158" s="939"/>
      <c r="K158" s="938"/>
      <c r="L158" s="939"/>
      <c r="M158" s="939"/>
      <c r="N158" s="939"/>
      <c r="O158" s="931">
        <f t="shared" ref="O158" si="233">L158</f>
        <v>0</v>
      </c>
      <c r="P158" s="939">
        <f t="shared" ref="P158" si="234">M158</f>
        <v>0</v>
      </c>
      <c r="Q158" s="939">
        <f t="shared" ref="Q158" si="235">N158</f>
        <v>0</v>
      </c>
      <c r="R158" s="931">
        <f>SUM(O158:Q160)</f>
        <v>0</v>
      </c>
      <c r="S158" s="940">
        <f>R158</f>
        <v>0</v>
      </c>
      <c r="T158" s="287">
        <v>0</v>
      </c>
      <c r="U158" s="931">
        <f>S158-T158-T159-T160</f>
        <v>0</v>
      </c>
      <c r="V158" s="932">
        <f>S158*0.8</f>
        <v>0</v>
      </c>
      <c r="W158" s="287"/>
      <c r="X158" s="931">
        <f>V158-W158-W159-W160</f>
        <v>0</v>
      </c>
      <c r="Y158" s="931">
        <f t="shared" ref="Y158" si="236">S158*0.17/1.065</f>
        <v>0</v>
      </c>
      <c r="Z158" s="287"/>
      <c r="AA158" s="287"/>
      <c r="AB158" s="931">
        <f t="shared" ref="AB158" si="237">V158*0.2/1.065</f>
        <v>0</v>
      </c>
      <c r="AC158" s="287"/>
      <c r="AD158" s="287"/>
      <c r="AE158" s="278" t="s">
        <v>590</v>
      </c>
      <c r="AF158" s="278" t="s">
        <v>749</v>
      </c>
      <c r="AG158" s="290">
        <f>0.505*2000</f>
        <v>1010</v>
      </c>
      <c r="AH158" s="933">
        <f>V158-Y158-AB158-AG158-AG159-AG160</f>
        <v>-1610</v>
      </c>
      <c r="AI158" s="934"/>
      <c r="AJ158" s="43"/>
    </row>
    <row r="159" spans="1:36" ht="24.95" customHeight="1" x14ac:dyDescent="0.2">
      <c r="A159" s="947"/>
      <c r="B159" s="881"/>
      <c r="C159" s="942"/>
      <c r="D159" s="821"/>
      <c r="E159" s="929"/>
      <c r="F159" s="892"/>
      <c r="G159" s="270" t="s">
        <v>817</v>
      </c>
      <c r="H159" s="270" t="s">
        <v>821</v>
      </c>
      <c r="I159" s="938"/>
      <c r="J159" s="939"/>
      <c r="K159" s="938"/>
      <c r="L159" s="939"/>
      <c r="M159" s="939"/>
      <c r="N159" s="939"/>
      <c r="O159" s="931"/>
      <c r="P159" s="939"/>
      <c r="Q159" s="939"/>
      <c r="R159" s="931"/>
      <c r="S159" s="940"/>
      <c r="T159" s="287">
        <v>0</v>
      </c>
      <c r="U159" s="931"/>
      <c r="V159" s="932"/>
      <c r="W159" s="287"/>
      <c r="X159" s="931"/>
      <c r="Y159" s="931"/>
      <c r="Z159" s="287"/>
      <c r="AA159" s="287"/>
      <c r="AB159" s="931"/>
      <c r="AC159" s="287"/>
      <c r="AD159" s="287"/>
      <c r="AE159" s="278" t="s">
        <v>590</v>
      </c>
      <c r="AF159" s="278" t="s">
        <v>592</v>
      </c>
      <c r="AG159" s="290">
        <f>4*150</f>
        <v>600</v>
      </c>
      <c r="AH159" s="933"/>
      <c r="AI159" s="934"/>
      <c r="AJ159" s="43"/>
    </row>
    <row r="160" spans="1:36" ht="24.95" customHeight="1" x14ac:dyDescent="0.2">
      <c r="A160" s="947"/>
      <c r="B160" s="881"/>
      <c r="C160" s="942"/>
      <c r="D160" s="821"/>
      <c r="E160" s="929"/>
      <c r="F160" s="892"/>
      <c r="G160" s="270" t="s">
        <v>818</v>
      </c>
      <c r="H160" s="270" t="s">
        <v>585</v>
      </c>
      <c r="I160" s="938"/>
      <c r="J160" s="939"/>
      <c r="K160" s="938"/>
      <c r="L160" s="939"/>
      <c r="M160" s="939"/>
      <c r="N160" s="939"/>
      <c r="O160" s="931"/>
      <c r="P160" s="939"/>
      <c r="Q160" s="939"/>
      <c r="R160" s="931"/>
      <c r="S160" s="940"/>
      <c r="T160" s="287">
        <v>0</v>
      </c>
      <c r="U160" s="931"/>
      <c r="V160" s="932"/>
      <c r="W160" s="287"/>
      <c r="X160" s="931"/>
      <c r="Y160" s="931"/>
      <c r="Z160" s="287"/>
      <c r="AA160" s="287"/>
      <c r="AB160" s="931"/>
      <c r="AC160" s="287"/>
      <c r="AD160" s="287"/>
      <c r="AE160" s="278"/>
      <c r="AF160" s="278"/>
      <c r="AG160" s="290"/>
      <c r="AH160" s="933"/>
      <c r="AI160" s="934"/>
      <c r="AJ160" s="43"/>
    </row>
    <row r="161" spans="1:36" ht="24.95" customHeight="1" x14ac:dyDescent="0.2">
      <c r="A161" s="947"/>
      <c r="B161" s="881"/>
      <c r="C161" s="942"/>
      <c r="D161" s="821" t="s">
        <v>1045</v>
      </c>
      <c r="E161" s="929"/>
      <c r="F161" s="892"/>
      <c r="G161" s="870"/>
      <c r="H161" s="871"/>
      <c r="I161" s="938"/>
      <c r="J161" s="939"/>
      <c r="K161" s="938"/>
      <c r="L161" s="939"/>
      <c r="M161" s="939"/>
      <c r="N161" s="939"/>
      <c r="O161" s="931">
        <f t="shared" ref="O161" si="238">L161</f>
        <v>0</v>
      </c>
      <c r="P161" s="939">
        <f t="shared" ref="P161" si="239">M161</f>
        <v>0</v>
      </c>
      <c r="Q161" s="939">
        <f t="shared" ref="Q161" si="240">N161</f>
        <v>0</v>
      </c>
      <c r="R161" s="931">
        <f>SUM(O161:Q163)</f>
        <v>0</v>
      </c>
      <c r="S161" s="940">
        <f>R161</f>
        <v>0</v>
      </c>
      <c r="T161" s="287">
        <v>0</v>
      </c>
      <c r="U161" s="931">
        <f>S161-T161-T162-T163</f>
        <v>0</v>
      </c>
      <c r="V161" s="932">
        <f>S161*0.8</f>
        <v>0</v>
      </c>
      <c r="W161" s="287"/>
      <c r="X161" s="931">
        <f>V161-W161-W162-W163</f>
        <v>0</v>
      </c>
      <c r="Y161" s="931">
        <f t="shared" ref="Y161" si="241">S161*0.17/1.065</f>
        <v>0</v>
      </c>
      <c r="Z161" s="287"/>
      <c r="AA161" s="287"/>
      <c r="AB161" s="931">
        <f t="shared" ref="AB161" si="242">V161*0.2/1.065</f>
        <v>0</v>
      </c>
      <c r="AC161" s="287"/>
      <c r="AD161" s="287"/>
      <c r="AE161" s="278" t="s">
        <v>590</v>
      </c>
      <c r="AF161" s="278" t="s">
        <v>749</v>
      </c>
      <c r="AG161" s="290">
        <f>1.1*2000</f>
        <v>2200</v>
      </c>
      <c r="AH161" s="933">
        <f>V161-Y161-AB161-AG161-AG162-AG163</f>
        <v>-2950</v>
      </c>
      <c r="AI161" s="934"/>
      <c r="AJ161" s="43"/>
    </row>
    <row r="162" spans="1:36" ht="24.95" customHeight="1" x14ac:dyDescent="0.2">
      <c r="A162" s="947"/>
      <c r="B162" s="881"/>
      <c r="C162" s="942"/>
      <c r="D162" s="821"/>
      <c r="E162" s="929"/>
      <c r="F162" s="892"/>
      <c r="G162" s="872"/>
      <c r="H162" s="873"/>
      <c r="I162" s="938"/>
      <c r="J162" s="939"/>
      <c r="K162" s="938"/>
      <c r="L162" s="939"/>
      <c r="M162" s="939"/>
      <c r="N162" s="939"/>
      <c r="O162" s="931"/>
      <c r="P162" s="939"/>
      <c r="Q162" s="939"/>
      <c r="R162" s="931"/>
      <c r="S162" s="940"/>
      <c r="T162" s="287">
        <v>0</v>
      </c>
      <c r="U162" s="931"/>
      <c r="V162" s="932"/>
      <c r="W162" s="287"/>
      <c r="X162" s="931"/>
      <c r="Y162" s="931"/>
      <c r="Z162" s="287"/>
      <c r="AA162" s="287"/>
      <c r="AB162" s="931"/>
      <c r="AC162" s="287"/>
      <c r="AD162" s="287"/>
      <c r="AE162" s="278" t="s">
        <v>590</v>
      </c>
      <c r="AF162" s="278" t="s">
        <v>592</v>
      </c>
      <c r="AG162" s="290">
        <f>5*150</f>
        <v>750</v>
      </c>
      <c r="AH162" s="933"/>
      <c r="AI162" s="934"/>
      <c r="AJ162" s="43"/>
    </row>
    <row r="163" spans="1:36" ht="24.95" customHeight="1" x14ac:dyDescent="0.2">
      <c r="A163" s="947"/>
      <c r="B163" s="881"/>
      <c r="C163" s="942"/>
      <c r="D163" s="821"/>
      <c r="E163" s="929"/>
      <c r="F163" s="892"/>
      <c r="G163" s="872"/>
      <c r="H163" s="873"/>
      <c r="I163" s="938"/>
      <c r="J163" s="939"/>
      <c r="K163" s="938"/>
      <c r="L163" s="939"/>
      <c r="M163" s="939"/>
      <c r="N163" s="939"/>
      <c r="O163" s="931"/>
      <c r="P163" s="939"/>
      <c r="Q163" s="939"/>
      <c r="R163" s="931"/>
      <c r="S163" s="940"/>
      <c r="T163" s="287">
        <v>0</v>
      </c>
      <c r="U163" s="931"/>
      <c r="V163" s="932"/>
      <c r="W163" s="287"/>
      <c r="X163" s="931"/>
      <c r="Y163" s="931"/>
      <c r="Z163" s="287"/>
      <c r="AA163" s="287"/>
      <c r="AB163" s="931"/>
      <c r="AC163" s="287"/>
      <c r="AD163" s="287"/>
      <c r="AE163" s="278"/>
      <c r="AF163" s="278"/>
      <c r="AG163" s="290"/>
      <c r="AH163" s="933"/>
      <c r="AI163" s="934"/>
      <c r="AJ163" s="43"/>
    </row>
    <row r="164" spans="1:36" ht="24.95" customHeight="1" x14ac:dyDescent="0.2">
      <c r="A164" s="947"/>
      <c r="B164" s="881"/>
      <c r="C164" s="942"/>
      <c r="D164" s="821" t="s">
        <v>1046</v>
      </c>
      <c r="E164" s="929"/>
      <c r="F164" s="892"/>
      <c r="G164" s="872"/>
      <c r="H164" s="873"/>
      <c r="I164" s="938"/>
      <c r="J164" s="939"/>
      <c r="K164" s="938"/>
      <c r="L164" s="939"/>
      <c r="M164" s="939"/>
      <c r="N164" s="939"/>
      <c r="O164" s="931">
        <f t="shared" ref="O164" si="243">L164</f>
        <v>0</v>
      </c>
      <c r="P164" s="939">
        <f t="shared" ref="P164" si="244">M164</f>
        <v>0</v>
      </c>
      <c r="Q164" s="939">
        <f t="shared" ref="Q164" si="245">N164</f>
        <v>0</v>
      </c>
      <c r="R164" s="931">
        <f>SUM(O164:Q166)</f>
        <v>0</v>
      </c>
      <c r="S164" s="940">
        <f>R164</f>
        <v>0</v>
      </c>
      <c r="T164" s="287">
        <v>0</v>
      </c>
      <c r="U164" s="931">
        <f>S164-T164-T165-T166</f>
        <v>0</v>
      </c>
      <c r="V164" s="932">
        <f>S164*0.8</f>
        <v>0</v>
      </c>
      <c r="W164" s="287"/>
      <c r="X164" s="931">
        <f>V164-W164-W165-W166</f>
        <v>0</v>
      </c>
      <c r="Y164" s="931">
        <f t="shared" ref="Y164" si="246">S164*0.17/1.065</f>
        <v>0</v>
      </c>
      <c r="Z164" s="287"/>
      <c r="AA164" s="287"/>
      <c r="AB164" s="931">
        <f t="shared" ref="AB164" si="247">V164*0.2/1.065</f>
        <v>0</v>
      </c>
      <c r="AC164" s="287"/>
      <c r="AD164" s="287"/>
      <c r="AE164" s="278" t="s">
        <v>1049</v>
      </c>
      <c r="AF164" s="278" t="s">
        <v>592</v>
      </c>
      <c r="AG164" s="290">
        <f>6*200</f>
        <v>1200</v>
      </c>
      <c r="AH164" s="933">
        <f>V164-Y164-AB164-AG164-AG165-AG166</f>
        <v>-1200</v>
      </c>
      <c r="AI164" s="934"/>
      <c r="AJ164" s="43"/>
    </row>
    <row r="165" spans="1:36" ht="24.95" customHeight="1" x14ac:dyDescent="0.2">
      <c r="A165" s="947"/>
      <c r="B165" s="881"/>
      <c r="C165" s="942"/>
      <c r="D165" s="821"/>
      <c r="E165" s="929"/>
      <c r="F165" s="892"/>
      <c r="G165" s="872"/>
      <c r="H165" s="873"/>
      <c r="I165" s="938"/>
      <c r="J165" s="939"/>
      <c r="K165" s="938"/>
      <c r="L165" s="939"/>
      <c r="M165" s="939"/>
      <c r="N165" s="939"/>
      <c r="O165" s="931"/>
      <c r="P165" s="939"/>
      <c r="Q165" s="939"/>
      <c r="R165" s="931"/>
      <c r="S165" s="940"/>
      <c r="T165" s="287">
        <v>0</v>
      </c>
      <c r="U165" s="931"/>
      <c r="V165" s="932"/>
      <c r="W165" s="287"/>
      <c r="X165" s="931"/>
      <c r="Y165" s="931"/>
      <c r="Z165" s="287"/>
      <c r="AA165" s="287"/>
      <c r="AB165" s="931"/>
      <c r="AC165" s="287"/>
      <c r="AD165" s="287"/>
      <c r="AE165" s="278"/>
      <c r="AF165" s="278"/>
      <c r="AG165" s="290"/>
      <c r="AH165" s="933"/>
      <c r="AI165" s="934"/>
      <c r="AJ165" s="43"/>
    </row>
    <row r="166" spans="1:36" ht="24.95" customHeight="1" x14ac:dyDescent="0.2">
      <c r="A166" s="947"/>
      <c r="B166" s="881"/>
      <c r="C166" s="942"/>
      <c r="D166" s="821"/>
      <c r="E166" s="929"/>
      <c r="F166" s="892"/>
      <c r="G166" s="872"/>
      <c r="H166" s="873"/>
      <c r="I166" s="938"/>
      <c r="J166" s="939"/>
      <c r="K166" s="938"/>
      <c r="L166" s="939"/>
      <c r="M166" s="939"/>
      <c r="N166" s="939"/>
      <c r="O166" s="931"/>
      <c r="P166" s="939"/>
      <c r="Q166" s="939"/>
      <c r="R166" s="931"/>
      <c r="S166" s="940"/>
      <c r="T166" s="287">
        <v>0</v>
      </c>
      <c r="U166" s="931"/>
      <c r="V166" s="932"/>
      <c r="W166" s="287"/>
      <c r="X166" s="931"/>
      <c r="Y166" s="931"/>
      <c r="Z166" s="287"/>
      <c r="AA166" s="287"/>
      <c r="AB166" s="931"/>
      <c r="AC166" s="287"/>
      <c r="AD166" s="287"/>
      <c r="AE166" s="278"/>
      <c r="AF166" s="278"/>
      <c r="AG166" s="290"/>
      <c r="AH166" s="933"/>
      <c r="AI166" s="934"/>
      <c r="AJ166" s="43"/>
    </row>
    <row r="167" spans="1:36" ht="24.95" customHeight="1" x14ac:dyDescent="0.2">
      <c r="A167" s="947"/>
      <c r="B167" s="881"/>
      <c r="C167" s="942"/>
      <c r="D167" s="821" t="s">
        <v>1047</v>
      </c>
      <c r="E167" s="929"/>
      <c r="F167" s="892"/>
      <c r="G167" s="872"/>
      <c r="H167" s="873"/>
      <c r="I167" s="938"/>
      <c r="J167" s="939"/>
      <c r="K167" s="938"/>
      <c r="L167" s="939"/>
      <c r="M167" s="939"/>
      <c r="N167" s="939"/>
      <c r="O167" s="931">
        <f t="shared" ref="O167" si="248">L167</f>
        <v>0</v>
      </c>
      <c r="P167" s="939">
        <f t="shared" ref="P167" si="249">M167</f>
        <v>0</v>
      </c>
      <c r="Q167" s="939">
        <f t="shared" ref="Q167" si="250">N167</f>
        <v>0</v>
      </c>
      <c r="R167" s="931">
        <f>SUM(O167:Q169)</f>
        <v>0</v>
      </c>
      <c r="S167" s="940">
        <f>R167</f>
        <v>0</v>
      </c>
      <c r="T167" s="287">
        <v>0</v>
      </c>
      <c r="U167" s="931">
        <f>S167-T167-T168-T169</f>
        <v>0</v>
      </c>
      <c r="V167" s="932">
        <f>S167*0.8</f>
        <v>0</v>
      </c>
      <c r="W167" s="287"/>
      <c r="X167" s="931">
        <f>V167-W167-W168-W169</f>
        <v>0</v>
      </c>
      <c r="Y167" s="931">
        <f t="shared" ref="Y167" si="251">S167*0.17/1.065</f>
        <v>0</v>
      </c>
      <c r="Z167" s="287"/>
      <c r="AA167" s="287"/>
      <c r="AB167" s="931">
        <f t="shared" ref="AB167" si="252">V167*0.2/1.065</f>
        <v>0</v>
      </c>
      <c r="AC167" s="287"/>
      <c r="AD167" s="287"/>
      <c r="AE167" s="278" t="s">
        <v>590</v>
      </c>
      <c r="AF167" s="278" t="s">
        <v>592</v>
      </c>
      <c r="AG167" s="290">
        <f>4*150</f>
        <v>600</v>
      </c>
      <c r="AH167" s="933">
        <f>V167-Y167-AB167-AG167-AG168-AG169</f>
        <v>-600</v>
      </c>
      <c r="AI167" s="934"/>
      <c r="AJ167" s="43"/>
    </row>
    <row r="168" spans="1:36" ht="24.95" customHeight="1" x14ac:dyDescent="0.2">
      <c r="A168" s="947"/>
      <c r="B168" s="881"/>
      <c r="C168" s="942"/>
      <c r="D168" s="821"/>
      <c r="E168" s="929"/>
      <c r="F168" s="892"/>
      <c r="G168" s="872"/>
      <c r="H168" s="873"/>
      <c r="I168" s="938"/>
      <c r="J168" s="939"/>
      <c r="K168" s="938"/>
      <c r="L168" s="939"/>
      <c r="M168" s="939"/>
      <c r="N168" s="939"/>
      <c r="O168" s="931"/>
      <c r="P168" s="939"/>
      <c r="Q168" s="939"/>
      <c r="R168" s="931"/>
      <c r="S168" s="940"/>
      <c r="T168" s="287">
        <v>0</v>
      </c>
      <c r="U168" s="931"/>
      <c r="V168" s="932"/>
      <c r="W168" s="287"/>
      <c r="X168" s="931"/>
      <c r="Y168" s="931"/>
      <c r="Z168" s="287"/>
      <c r="AA168" s="287"/>
      <c r="AB168" s="931"/>
      <c r="AC168" s="287"/>
      <c r="AD168" s="287"/>
      <c r="AE168" s="278"/>
      <c r="AF168" s="278"/>
      <c r="AG168" s="290"/>
      <c r="AH168" s="933"/>
      <c r="AI168" s="934"/>
      <c r="AJ168" s="43"/>
    </row>
    <row r="169" spans="1:36" ht="24.95" customHeight="1" x14ac:dyDescent="0.2">
      <c r="A169" s="948"/>
      <c r="B169" s="882"/>
      <c r="C169" s="943"/>
      <c r="D169" s="821"/>
      <c r="E169" s="930"/>
      <c r="F169" s="893"/>
      <c r="G169" s="874"/>
      <c r="H169" s="875"/>
      <c r="I169" s="938"/>
      <c r="J169" s="939"/>
      <c r="K169" s="938"/>
      <c r="L169" s="939"/>
      <c r="M169" s="939"/>
      <c r="N169" s="939"/>
      <c r="O169" s="931"/>
      <c r="P169" s="939"/>
      <c r="Q169" s="939"/>
      <c r="R169" s="931"/>
      <c r="S169" s="940"/>
      <c r="T169" s="287">
        <v>0</v>
      </c>
      <c r="U169" s="931"/>
      <c r="V169" s="932"/>
      <c r="W169" s="287"/>
      <c r="X169" s="931"/>
      <c r="Y169" s="931"/>
      <c r="Z169" s="287"/>
      <c r="AA169" s="287"/>
      <c r="AB169" s="931"/>
      <c r="AC169" s="287"/>
      <c r="AD169" s="287"/>
      <c r="AE169" s="278"/>
      <c r="AF169" s="278"/>
      <c r="AG169" s="290"/>
      <c r="AH169" s="933"/>
      <c r="AI169" s="934"/>
      <c r="AJ169" s="43"/>
    </row>
    <row r="170" spans="1:36" ht="24.95" customHeight="1" x14ac:dyDescent="0.2">
      <c r="A170" s="935">
        <v>25</v>
      </c>
      <c r="B170" s="821" t="s">
        <v>1010</v>
      </c>
      <c r="C170" s="936" t="s">
        <v>1012</v>
      </c>
      <c r="D170" s="821" t="s">
        <v>1011</v>
      </c>
      <c r="E170" s="884" t="s">
        <v>930</v>
      </c>
      <c r="F170" s="822" t="s">
        <v>1013</v>
      </c>
      <c r="G170" s="270" t="s">
        <v>651</v>
      </c>
      <c r="H170" s="270" t="s">
        <v>1025</v>
      </c>
      <c r="I170" s="938">
        <v>9379</v>
      </c>
      <c r="J170" s="937"/>
      <c r="K170" s="937"/>
      <c r="L170" s="939">
        <f>I170</f>
        <v>9379</v>
      </c>
      <c r="M170" s="937"/>
      <c r="N170" s="937"/>
      <c r="O170" s="931">
        <f t="shared" ref="O170" si="253">L170</f>
        <v>9379</v>
      </c>
      <c r="P170" s="939">
        <f t="shared" ref="P170" si="254">M170</f>
        <v>0</v>
      </c>
      <c r="Q170" s="939">
        <f t="shared" ref="Q170" si="255">N170</f>
        <v>0</v>
      </c>
      <c r="R170" s="931">
        <f>SUM(O170:Q172)</f>
        <v>9379</v>
      </c>
      <c r="S170" s="940">
        <f>R170</f>
        <v>9379</v>
      </c>
      <c r="T170" s="287">
        <v>0</v>
      </c>
      <c r="U170" s="931">
        <f>S170-T170-T171-T172</f>
        <v>9379</v>
      </c>
      <c r="V170" s="932">
        <f>S170*0.8</f>
        <v>7503.2000000000007</v>
      </c>
      <c r="W170" s="287"/>
      <c r="X170" s="931">
        <f>V170-W170-W171-W172</f>
        <v>7503.2000000000007</v>
      </c>
      <c r="Y170" s="931">
        <f t="shared" ref="Y170" si="256">S170*0.17/1.065</f>
        <v>1497.1173708920189</v>
      </c>
      <c r="Z170" s="287"/>
      <c r="AA170" s="287"/>
      <c r="AB170" s="931">
        <f t="shared" ref="AB170" si="257">V170*0.2/1.065</f>
        <v>1409.0516431924887</v>
      </c>
      <c r="AC170" s="287"/>
      <c r="AD170" s="287"/>
      <c r="AE170" s="278"/>
      <c r="AF170" s="278"/>
      <c r="AG170" s="290"/>
      <c r="AH170" s="933">
        <f>V170-Y170-AB170-AG170-AG171-AG172</f>
        <v>4597.0309859154931</v>
      </c>
      <c r="AI170" s="934"/>
      <c r="AJ170" s="43"/>
    </row>
    <row r="171" spans="1:36" ht="24.95" customHeight="1" x14ac:dyDescent="0.2">
      <c r="A171" s="935"/>
      <c r="B171" s="821"/>
      <c r="C171" s="936"/>
      <c r="D171" s="821"/>
      <c r="E171" s="884"/>
      <c r="F171" s="822"/>
      <c r="G171" s="270" t="s">
        <v>817</v>
      </c>
      <c r="H171" s="270"/>
      <c r="I171" s="938"/>
      <c r="J171" s="937"/>
      <c r="K171" s="937"/>
      <c r="L171" s="939"/>
      <c r="M171" s="937"/>
      <c r="N171" s="937"/>
      <c r="O171" s="931"/>
      <c r="P171" s="939"/>
      <c r="Q171" s="939"/>
      <c r="R171" s="931"/>
      <c r="S171" s="940"/>
      <c r="T171" s="287">
        <v>0</v>
      </c>
      <c r="U171" s="931"/>
      <c r="V171" s="932"/>
      <c r="W171" s="287"/>
      <c r="X171" s="931"/>
      <c r="Y171" s="931"/>
      <c r="Z171" s="287"/>
      <c r="AA171" s="287"/>
      <c r="AB171" s="931"/>
      <c r="AC171" s="287"/>
      <c r="AD171" s="287"/>
      <c r="AE171" s="278"/>
      <c r="AF171" s="278"/>
      <c r="AG171" s="290"/>
      <c r="AH171" s="933"/>
      <c r="AI171" s="934"/>
      <c r="AJ171" s="43"/>
    </row>
    <row r="172" spans="1:36" ht="24.95" customHeight="1" x14ac:dyDescent="0.2">
      <c r="A172" s="935"/>
      <c r="B172" s="821"/>
      <c r="C172" s="936"/>
      <c r="D172" s="821"/>
      <c r="E172" s="862"/>
      <c r="F172" s="822"/>
      <c r="G172" s="270" t="s">
        <v>818</v>
      </c>
      <c r="H172" s="270" t="s">
        <v>1026</v>
      </c>
      <c r="I172" s="938"/>
      <c r="J172" s="937"/>
      <c r="K172" s="937"/>
      <c r="L172" s="939"/>
      <c r="M172" s="937"/>
      <c r="N172" s="937"/>
      <c r="O172" s="931"/>
      <c r="P172" s="939"/>
      <c r="Q172" s="939"/>
      <c r="R172" s="931"/>
      <c r="S172" s="940"/>
      <c r="T172" s="287">
        <v>0</v>
      </c>
      <c r="U172" s="931"/>
      <c r="V172" s="932"/>
      <c r="W172" s="287"/>
      <c r="X172" s="931"/>
      <c r="Y172" s="931"/>
      <c r="Z172" s="287"/>
      <c r="AA172" s="287"/>
      <c r="AB172" s="931"/>
      <c r="AC172" s="287"/>
      <c r="AD172" s="287"/>
      <c r="AE172" s="278"/>
      <c r="AF172" s="278"/>
      <c r="AG172" s="290"/>
      <c r="AH172" s="933"/>
      <c r="AI172" s="934"/>
      <c r="AJ172" s="43"/>
    </row>
    <row r="173" spans="1:36" ht="24.95" customHeight="1" x14ac:dyDescent="0.2">
      <c r="A173" s="935">
        <v>26</v>
      </c>
      <c r="B173" s="821" t="s">
        <v>1014</v>
      </c>
      <c r="C173" s="936" t="s">
        <v>1015</v>
      </c>
      <c r="D173" s="821" t="s">
        <v>1016</v>
      </c>
      <c r="E173" s="884" t="s">
        <v>930</v>
      </c>
      <c r="F173" s="822" t="s">
        <v>1017</v>
      </c>
      <c r="G173" s="270" t="s">
        <v>651</v>
      </c>
      <c r="H173" s="270"/>
      <c r="I173" s="937"/>
      <c r="J173" s="937"/>
      <c r="K173" s="938">
        <f>80000*2+70000*1</f>
        <v>230000</v>
      </c>
      <c r="L173" s="937"/>
      <c r="M173" s="937"/>
      <c r="N173" s="939">
        <f>K173</f>
        <v>230000</v>
      </c>
      <c r="O173" s="931">
        <f t="shared" ref="O173" si="258">L173</f>
        <v>0</v>
      </c>
      <c r="P173" s="939">
        <f t="shared" ref="P173" si="259">M173</f>
        <v>0</v>
      </c>
      <c r="Q173" s="939">
        <f t="shared" ref="Q173" si="260">N173</f>
        <v>230000</v>
      </c>
      <c r="R173" s="931">
        <f>SUM(O173:Q175)</f>
        <v>230000</v>
      </c>
      <c r="S173" s="940">
        <f>R173</f>
        <v>230000</v>
      </c>
      <c r="T173" s="287">
        <v>0</v>
      </c>
      <c r="U173" s="931">
        <f>S173-T173-T174-T175</f>
        <v>230000</v>
      </c>
      <c r="V173" s="932">
        <f>S173*0.8</f>
        <v>184000</v>
      </c>
      <c r="W173" s="287"/>
      <c r="X173" s="931">
        <f>V173-W173-W174-W175</f>
        <v>184000</v>
      </c>
      <c r="Y173" s="931">
        <f t="shared" ref="Y173" si="261">S173*0.17/1.065</f>
        <v>36713.61502347418</v>
      </c>
      <c r="Z173" s="287"/>
      <c r="AA173" s="287"/>
      <c r="AB173" s="931">
        <f t="shared" ref="AB173" si="262">V173*0.2/1.065</f>
        <v>34553.990610328641</v>
      </c>
      <c r="AC173" s="287"/>
      <c r="AD173" s="287"/>
      <c r="AE173" s="278"/>
      <c r="AF173" s="278"/>
      <c r="AG173" s="290"/>
      <c r="AH173" s="933">
        <f>V173-Y173-AB173-AG173-AG174-AG175</f>
        <v>112732.39436619717</v>
      </c>
      <c r="AI173" s="934"/>
      <c r="AJ173" s="43"/>
    </row>
    <row r="174" spans="1:36" ht="24.95" customHeight="1" x14ac:dyDescent="0.2">
      <c r="A174" s="935"/>
      <c r="B174" s="821"/>
      <c r="C174" s="936"/>
      <c r="D174" s="821"/>
      <c r="E174" s="884"/>
      <c r="F174" s="822"/>
      <c r="G174" s="270" t="s">
        <v>817</v>
      </c>
      <c r="H174" s="270"/>
      <c r="I174" s="937"/>
      <c r="J174" s="937"/>
      <c r="K174" s="938"/>
      <c r="L174" s="937"/>
      <c r="M174" s="937"/>
      <c r="N174" s="939"/>
      <c r="O174" s="931"/>
      <c r="P174" s="939"/>
      <c r="Q174" s="939"/>
      <c r="R174" s="931"/>
      <c r="S174" s="940"/>
      <c r="T174" s="287">
        <v>0</v>
      </c>
      <c r="U174" s="931"/>
      <c r="V174" s="932"/>
      <c r="W174" s="287"/>
      <c r="X174" s="931"/>
      <c r="Y174" s="931"/>
      <c r="Z174" s="287"/>
      <c r="AA174" s="287"/>
      <c r="AB174" s="931"/>
      <c r="AC174" s="287"/>
      <c r="AD174" s="287"/>
      <c r="AE174" s="278"/>
      <c r="AF174" s="278"/>
      <c r="AG174" s="290"/>
      <c r="AH174" s="933"/>
      <c r="AI174" s="934"/>
      <c r="AJ174" s="43"/>
    </row>
    <row r="175" spans="1:36" ht="24.95" customHeight="1" x14ac:dyDescent="0.2">
      <c r="A175" s="935"/>
      <c r="B175" s="821"/>
      <c r="C175" s="936"/>
      <c r="D175" s="821"/>
      <c r="E175" s="862"/>
      <c r="F175" s="822"/>
      <c r="G175" s="270" t="s">
        <v>818</v>
      </c>
      <c r="H175" s="270" t="s">
        <v>1026</v>
      </c>
      <c r="I175" s="937"/>
      <c r="J175" s="937"/>
      <c r="K175" s="938"/>
      <c r="L175" s="937"/>
      <c r="M175" s="937"/>
      <c r="N175" s="939"/>
      <c r="O175" s="931"/>
      <c r="P175" s="939"/>
      <c r="Q175" s="939"/>
      <c r="R175" s="931"/>
      <c r="S175" s="940"/>
      <c r="T175" s="287">
        <v>0</v>
      </c>
      <c r="U175" s="931"/>
      <c r="V175" s="932"/>
      <c r="W175" s="287"/>
      <c r="X175" s="931"/>
      <c r="Y175" s="931"/>
      <c r="Z175" s="287"/>
      <c r="AA175" s="287"/>
      <c r="AB175" s="931"/>
      <c r="AC175" s="287"/>
      <c r="AD175" s="287"/>
      <c r="AE175" s="278"/>
      <c r="AF175" s="278"/>
      <c r="AG175" s="290"/>
      <c r="AH175" s="933"/>
      <c r="AI175" s="934"/>
      <c r="AJ175" s="43"/>
    </row>
    <row r="176" spans="1:36" ht="24.95" customHeight="1" x14ac:dyDescent="0.2">
      <c r="A176" s="935">
        <v>27</v>
      </c>
      <c r="B176" s="880" t="s">
        <v>997</v>
      </c>
      <c r="C176" s="941" t="s">
        <v>1018</v>
      </c>
      <c r="D176" s="821" t="s">
        <v>1019</v>
      </c>
      <c r="E176" s="884" t="s">
        <v>930</v>
      </c>
      <c r="F176" s="822" t="s">
        <v>1020</v>
      </c>
      <c r="G176" s="270" t="s">
        <v>651</v>
      </c>
      <c r="H176" s="270" t="s">
        <v>933</v>
      </c>
      <c r="I176" s="937"/>
      <c r="J176" s="937"/>
      <c r="K176" s="938">
        <v>80000</v>
      </c>
      <c r="L176" s="937"/>
      <c r="M176" s="937"/>
      <c r="N176" s="939">
        <f>K176</f>
        <v>80000</v>
      </c>
      <c r="O176" s="931">
        <f t="shared" ref="O176" si="263">L176</f>
        <v>0</v>
      </c>
      <c r="P176" s="939">
        <f t="shared" ref="P176" si="264">M176</f>
        <v>0</v>
      </c>
      <c r="Q176" s="939">
        <f t="shared" ref="Q176" si="265">N176</f>
        <v>80000</v>
      </c>
      <c r="R176" s="931">
        <f>SUM(O176:Q178)</f>
        <v>80000</v>
      </c>
      <c r="S176" s="940">
        <f>R176</f>
        <v>80000</v>
      </c>
      <c r="T176" s="287">
        <v>0</v>
      </c>
      <c r="U176" s="931">
        <f>S176-T176-T177-T178</f>
        <v>80000</v>
      </c>
      <c r="V176" s="932">
        <f>S176*0.8</f>
        <v>64000</v>
      </c>
      <c r="W176" s="287"/>
      <c r="X176" s="931">
        <f>V176-W176-W177-W178</f>
        <v>64000</v>
      </c>
      <c r="Y176" s="931">
        <f t="shared" ref="Y176" si="266">S176*0.17/1.065</f>
        <v>12769.953051643195</v>
      </c>
      <c r="Z176" s="287"/>
      <c r="AA176" s="287"/>
      <c r="AB176" s="931">
        <f t="shared" ref="AB176" si="267">V176*0.2/1.065</f>
        <v>12018.779342723004</v>
      </c>
      <c r="AC176" s="287"/>
      <c r="AD176" s="287"/>
      <c r="AE176" s="278"/>
      <c r="AF176" s="278"/>
      <c r="AG176" s="290"/>
      <c r="AH176" s="933">
        <f>V176-Y176-AB176-AG176-AG177-AG178</f>
        <v>39211.267605633795</v>
      </c>
      <c r="AI176" s="934"/>
      <c r="AJ176" s="43"/>
    </row>
    <row r="177" spans="1:36" ht="24.95" customHeight="1" x14ac:dyDescent="0.2">
      <c r="A177" s="935"/>
      <c r="B177" s="881"/>
      <c r="C177" s="942"/>
      <c r="D177" s="821"/>
      <c r="E177" s="884"/>
      <c r="F177" s="822"/>
      <c r="G177" s="270" t="s">
        <v>817</v>
      </c>
      <c r="H177" s="270" t="s">
        <v>932</v>
      </c>
      <c r="I177" s="937"/>
      <c r="J177" s="937"/>
      <c r="K177" s="938"/>
      <c r="L177" s="937"/>
      <c r="M177" s="937"/>
      <c r="N177" s="939"/>
      <c r="O177" s="931"/>
      <c r="P177" s="939"/>
      <c r="Q177" s="939"/>
      <c r="R177" s="931"/>
      <c r="S177" s="940"/>
      <c r="T177" s="287">
        <v>0</v>
      </c>
      <c r="U177" s="931"/>
      <c r="V177" s="932"/>
      <c r="W177" s="287"/>
      <c r="X177" s="931"/>
      <c r="Y177" s="931"/>
      <c r="Z177" s="287"/>
      <c r="AA177" s="287"/>
      <c r="AB177" s="931"/>
      <c r="AC177" s="287"/>
      <c r="AD177" s="287"/>
      <c r="AE177" s="278"/>
      <c r="AF177" s="278"/>
      <c r="AG177" s="290"/>
      <c r="AH177" s="933"/>
      <c r="AI177" s="934"/>
      <c r="AJ177" s="43"/>
    </row>
    <row r="178" spans="1:36" ht="24.95" customHeight="1" x14ac:dyDescent="0.2">
      <c r="A178" s="935"/>
      <c r="B178" s="882"/>
      <c r="C178" s="943"/>
      <c r="D178" s="880"/>
      <c r="E178" s="884"/>
      <c r="F178" s="822"/>
      <c r="G178" s="270" t="s">
        <v>818</v>
      </c>
      <c r="H178" s="270" t="s">
        <v>585</v>
      </c>
      <c r="I178" s="937"/>
      <c r="J178" s="937"/>
      <c r="K178" s="938"/>
      <c r="L178" s="937"/>
      <c r="M178" s="937"/>
      <c r="N178" s="939"/>
      <c r="O178" s="931"/>
      <c r="P178" s="939"/>
      <c r="Q178" s="939"/>
      <c r="R178" s="931"/>
      <c r="S178" s="940"/>
      <c r="T178" s="287">
        <v>0</v>
      </c>
      <c r="U178" s="931"/>
      <c r="V178" s="932"/>
      <c r="W178" s="287"/>
      <c r="X178" s="931"/>
      <c r="Y178" s="931"/>
      <c r="Z178" s="287"/>
      <c r="AA178" s="287"/>
      <c r="AB178" s="931"/>
      <c r="AC178" s="287"/>
      <c r="AD178" s="287"/>
      <c r="AE178" s="278"/>
      <c r="AF178" s="278"/>
      <c r="AG178" s="290"/>
      <c r="AH178" s="933"/>
      <c r="AI178" s="934"/>
      <c r="AJ178" s="43"/>
    </row>
    <row r="179" spans="1:36" ht="24.95" customHeight="1" x14ac:dyDescent="0.2">
      <c r="A179" s="935">
        <v>28</v>
      </c>
      <c r="B179" s="821" t="s">
        <v>1027</v>
      </c>
      <c r="C179" s="936" t="s">
        <v>1028</v>
      </c>
      <c r="D179" s="821"/>
      <c r="E179" s="884" t="s">
        <v>1029</v>
      </c>
      <c r="F179" s="822"/>
      <c r="G179" s="270" t="s">
        <v>651</v>
      </c>
      <c r="H179" s="270" t="s">
        <v>1029</v>
      </c>
      <c r="I179" s="938">
        <v>130694</v>
      </c>
      <c r="J179" s="939">
        <v>23064</v>
      </c>
      <c r="K179" s="937"/>
      <c r="L179" s="938">
        <v>130694</v>
      </c>
      <c r="M179" s="939">
        <v>23064</v>
      </c>
      <c r="N179" s="937"/>
      <c r="O179" s="931">
        <f t="shared" ref="O179" si="268">L179</f>
        <v>130694</v>
      </c>
      <c r="P179" s="939">
        <f t="shared" ref="P179" si="269">M179</f>
        <v>23064</v>
      </c>
      <c r="Q179" s="939">
        <f t="shared" ref="Q179" si="270">N179</f>
        <v>0</v>
      </c>
      <c r="R179" s="931">
        <f>SUM(O179:Q181)</f>
        <v>153758</v>
      </c>
      <c r="S179" s="940">
        <f>R179</f>
        <v>153758</v>
      </c>
      <c r="T179" s="287">
        <v>0</v>
      </c>
      <c r="U179" s="931">
        <f>S179-T179-T180-T181</f>
        <v>153758</v>
      </c>
      <c r="V179" s="932">
        <v>200000</v>
      </c>
      <c r="W179" s="287"/>
      <c r="X179" s="931">
        <f>V179-W179-W180-W181</f>
        <v>200000</v>
      </c>
      <c r="Y179" s="931">
        <f t="shared" ref="Y179" si="271">S179*0.17/1.065</f>
        <v>24543.530516431925</v>
      </c>
      <c r="Z179" s="287"/>
      <c r="AA179" s="287"/>
      <c r="AB179" s="931">
        <f t="shared" ref="AB179" si="272">V179*0.2/1.065</f>
        <v>37558.685446009389</v>
      </c>
      <c r="AC179" s="287"/>
      <c r="AD179" s="287"/>
      <c r="AE179" s="278"/>
      <c r="AF179" s="278"/>
      <c r="AG179" s="290"/>
      <c r="AH179" s="933">
        <f>V179-Y179-AB179-AG179-AG180-AG181</f>
        <v>137897.78403755868</v>
      </c>
      <c r="AI179" s="934" t="s">
        <v>1031</v>
      </c>
      <c r="AJ179" s="43"/>
    </row>
    <row r="180" spans="1:36" ht="24.95" customHeight="1" x14ac:dyDescent="0.2">
      <c r="A180" s="935"/>
      <c r="B180" s="821"/>
      <c r="C180" s="936"/>
      <c r="D180" s="821"/>
      <c r="E180" s="884"/>
      <c r="F180" s="822"/>
      <c r="G180" s="270" t="s">
        <v>817</v>
      </c>
      <c r="H180" s="270" t="s">
        <v>1030</v>
      </c>
      <c r="I180" s="938"/>
      <c r="J180" s="939"/>
      <c r="K180" s="937"/>
      <c r="L180" s="938"/>
      <c r="M180" s="939"/>
      <c r="N180" s="937"/>
      <c r="O180" s="931"/>
      <c r="P180" s="939"/>
      <c r="Q180" s="939"/>
      <c r="R180" s="931"/>
      <c r="S180" s="940"/>
      <c r="T180" s="287">
        <v>0</v>
      </c>
      <c r="U180" s="931"/>
      <c r="V180" s="932"/>
      <c r="W180" s="287"/>
      <c r="X180" s="931"/>
      <c r="Y180" s="931"/>
      <c r="Z180" s="287"/>
      <c r="AA180" s="287"/>
      <c r="AB180" s="931"/>
      <c r="AC180" s="287"/>
      <c r="AD180" s="287"/>
      <c r="AE180" s="278"/>
      <c r="AF180" s="278"/>
      <c r="AG180" s="290"/>
      <c r="AH180" s="933"/>
      <c r="AI180" s="934"/>
      <c r="AJ180" s="43"/>
    </row>
    <row r="181" spans="1:36" ht="24.95" customHeight="1" x14ac:dyDescent="0.2">
      <c r="A181" s="935"/>
      <c r="B181" s="821"/>
      <c r="C181" s="936"/>
      <c r="D181" s="821"/>
      <c r="E181" s="884"/>
      <c r="F181" s="822"/>
      <c r="G181" s="270" t="s">
        <v>818</v>
      </c>
      <c r="H181" s="270" t="s">
        <v>585</v>
      </c>
      <c r="I181" s="938"/>
      <c r="J181" s="939"/>
      <c r="K181" s="937"/>
      <c r="L181" s="938"/>
      <c r="M181" s="939"/>
      <c r="N181" s="937"/>
      <c r="O181" s="931"/>
      <c r="P181" s="939"/>
      <c r="Q181" s="939"/>
      <c r="R181" s="931"/>
      <c r="S181" s="940"/>
      <c r="T181" s="287">
        <v>0</v>
      </c>
      <c r="U181" s="931"/>
      <c r="V181" s="932"/>
      <c r="W181" s="287"/>
      <c r="X181" s="931"/>
      <c r="Y181" s="931"/>
      <c r="Z181" s="287"/>
      <c r="AA181" s="287"/>
      <c r="AB181" s="931"/>
      <c r="AC181" s="287"/>
      <c r="AD181" s="287"/>
      <c r="AE181" s="278"/>
      <c r="AF181" s="278"/>
      <c r="AG181" s="290"/>
      <c r="AH181" s="933"/>
      <c r="AI181" s="934"/>
      <c r="AJ181" s="43"/>
    </row>
    <row r="182" spans="1:36" ht="24.95" customHeight="1" x14ac:dyDescent="0.2">
      <c r="A182" s="935"/>
      <c r="B182" s="821"/>
      <c r="C182" s="936"/>
      <c r="D182" s="821"/>
      <c r="E182" s="884"/>
      <c r="F182" s="822"/>
      <c r="G182" s="270"/>
      <c r="H182" s="270"/>
      <c r="I182" s="938"/>
      <c r="J182" s="939"/>
      <c r="K182" s="938"/>
      <c r="L182" s="939"/>
      <c r="M182" s="939"/>
      <c r="N182" s="939"/>
      <c r="O182" s="931">
        <f t="shared" ref="O182" si="273">L182</f>
        <v>0</v>
      </c>
      <c r="P182" s="939">
        <f t="shared" ref="P182" si="274">M182</f>
        <v>0</v>
      </c>
      <c r="Q182" s="939">
        <f t="shared" ref="Q182" si="275">N182</f>
        <v>0</v>
      </c>
      <c r="R182" s="931">
        <f>SUM(O182:Q184)</f>
        <v>0</v>
      </c>
      <c r="S182" s="940">
        <f>R182</f>
        <v>0</v>
      </c>
      <c r="T182" s="287">
        <v>0</v>
      </c>
      <c r="U182" s="931">
        <f>S182-T182-T183-T184</f>
        <v>0</v>
      </c>
      <c r="V182" s="932">
        <f>S182*0.8</f>
        <v>0</v>
      </c>
      <c r="W182" s="287"/>
      <c r="X182" s="931">
        <f>V182-W182-W183-W184</f>
        <v>0</v>
      </c>
      <c r="Y182" s="931">
        <f t="shared" ref="Y182" si="276">S182*0.17/1.065</f>
        <v>0</v>
      </c>
      <c r="Z182" s="287"/>
      <c r="AA182" s="287"/>
      <c r="AB182" s="931">
        <f t="shared" ref="AB182" si="277">V182*0.2/1.065</f>
        <v>0</v>
      </c>
      <c r="AC182" s="287"/>
      <c r="AD182" s="287"/>
      <c r="AE182" s="278"/>
      <c r="AF182" s="278"/>
      <c r="AG182" s="290"/>
      <c r="AH182" s="933">
        <f>V182-Y182-AB182-AG182-AG183-AG184</f>
        <v>0</v>
      </c>
      <c r="AI182" s="934"/>
      <c r="AJ182" s="43"/>
    </row>
    <row r="183" spans="1:36" ht="24.95" customHeight="1" x14ac:dyDescent="0.2">
      <c r="A183" s="935"/>
      <c r="B183" s="821"/>
      <c r="C183" s="936"/>
      <c r="D183" s="821"/>
      <c r="E183" s="884"/>
      <c r="F183" s="822"/>
      <c r="G183" s="270"/>
      <c r="H183" s="270"/>
      <c r="I183" s="938"/>
      <c r="J183" s="939"/>
      <c r="K183" s="938"/>
      <c r="L183" s="939"/>
      <c r="M183" s="939"/>
      <c r="N183" s="939"/>
      <c r="O183" s="931"/>
      <c r="P183" s="939"/>
      <c r="Q183" s="939"/>
      <c r="R183" s="931"/>
      <c r="S183" s="940"/>
      <c r="T183" s="287">
        <v>0</v>
      </c>
      <c r="U183" s="931"/>
      <c r="V183" s="932"/>
      <c r="W183" s="287"/>
      <c r="X183" s="931"/>
      <c r="Y183" s="931"/>
      <c r="Z183" s="287"/>
      <c r="AA183" s="287"/>
      <c r="AB183" s="931"/>
      <c r="AC183" s="287"/>
      <c r="AD183" s="287"/>
      <c r="AE183" s="278"/>
      <c r="AF183" s="278"/>
      <c r="AG183" s="290"/>
      <c r="AH183" s="933"/>
      <c r="AI183" s="934"/>
      <c r="AJ183" s="43"/>
    </row>
    <row r="184" spans="1:36" ht="24.95" customHeight="1" x14ac:dyDescent="0.2">
      <c r="A184" s="935"/>
      <c r="B184" s="821"/>
      <c r="C184" s="936"/>
      <c r="D184" s="821"/>
      <c r="E184" s="884"/>
      <c r="F184" s="822"/>
      <c r="G184" s="270"/>
      <c r="H184" s="270"/>
      <c r="I184" s="938"/>
      <c r="J184" s="939"/>
      <c r="K184" s="938"/>
      <c r="L184" s="939"/>
      <c r="M184" s="939"/>
      <c r="N184" s="939"/>
      <c r="O184" s="931"/>
      <c r="P184" s="939"/>
      <c r="Q184" s="939"/>
      <c r="R184" s="931"/>
      <c r="S184" s="940"/>
      <c r="T184" s="287">
        <v>0</v>
      </c>
      <c r="U184" s="931"/>
      <c r="V184" s="932"/>
      <c r="W184" s="287"/>
      <c r="X184" s="931"/>
      <c r="Y184" s="931"/>
      <c r="Z184" s="287"/>
      <c r="AA184" s="287"/>
      <c r="AB184" s="931"/>
      <c r="AC184" s="287"/>
      <c r="AD184" s="287"/>
      <c r="AE184" s="278"/>
      <c r="AF184" s="278"/>
      <c r="AG184" s="290"/>
      <c r="AH184" s="933"/>
      <c r="AI184" s="934"/>
      <c r="AJ184" s="43"/>
    </row>
    <row r="185" spans="1:36" ht="24.95" customHeight="1" x14ac:dyDescent="0.2">
      <c r="A185" s="935"/>
      <c r="B185" s="821"/>
      <c r="C185" s="936"/>
      <c r="D185" s="821"/>
      <c r="E185" s="884"/>
      <c r="F185" s="822"/>
      <c r="G185" s="270"/>
      <c r="H185" s="270"/>
      <c r="I185" s="938"/>
      <c r="J185" s="939"/>
      <c r="K185" s="938"/>
      <c r="L185" s="939"/>
      <c r="M185" s="939"/>
      <c r="N185" s="939"/>
      <c r="O185" s="931">
        <f t="shared" ref="O185" si="278">L185</f>
        <v>0</v>
      </c>
      <c r="P185" s="939">
        <f t="shared" ref="P185" si="279">M185</f>
        <v>0</v>
      </c>
      <c r="Q185" s="939">
        <f t="shared" ref="Q185" si="280">N185</f>
        <v>0</v>
      </c>
      <c r="R185" s="931">
        <f>SUM(O185:Q187)</f>
        <v>0</v>
      </c>
      <c r="S185" s="940">
        <f>R185</f>
        <v>0</v>
      </c>
      <c r="T185" s="287">
        <v>0</v>
      </c>
      <c r="U185" s="931">
        <f>S185-T185-T186-T187</f>
        <v>0</v>
      </c>
      <c r="V185" s="932">
        <f>S185*0.8</f>
        <v>0</v>
      </c>
      <c r="W185" s="287"/>
      <c r="X185" s="931">
        <f>V185-W185-W186-W187</f>
        <v>0</v>
      </c>
      <c r="Y185" s="931">
        <f t="shared" ref="Y185" si="281">S185*0.17/1.065</f>
        <v>0</v>
      </c>
      <c r="Z185" s="287"/>
      <c r="AA185" s="287"/>
      <c r="AB185" s="931">
        <f t="shared" ref="AB185" si="282">V185*0.2/1.065</f>
        <v>0</v>
      </c>
      <c r="AC185" s="287"/>
      <c r="AD185" s="287"/>
      <c r="AE185" s="278"/>
      <c r="AF185" s="278"/>
      <c r="AG185" s="290"/>
      <c r="AH185" s="933">
        <f>V185-Y185-AB185-AG185-AG186-AG187</f>
        <v>0</v>
      </c>
      <c r="AI185" s="934"/>
      <c r="AJ185" s="43"/>
    </row>
    <row r="186" spans="1:36" ht="24.95" customHeight="1" x14ac:dyDescent="0.2">
      <c r="A186" s="935"/>
      <c r="B186" s="821"/>
      <c r="C186" s="936"/>
      <c r="D186" s="821"/>
      <c r="E186" s="884"/>
      <c r="F186" s="822"/>
      <c r="G186" s="270"/>
      <c r="H186" s="270"/>
      <c r="I186" s="938"/>
      <c r="J186" s="939"/>
      <c r="K186" s="938"/>
      <c r="L186" s="939"/>
      <c r="M186" s="939"/>
      <c r="N186" s="939"/>
      <c r="O186" s="931"/>
      <c r="P186" s="939"/>
      <c r="Q186" s="939"/>
      <c r="R186" s="931"/>
      <c r="S186" s="940"/>
      <c r="T186" s="287">
        <v>0</v>
      </c>
      <c r="U186" s="931"/>
      <c r="V186" s="932"/>
      <c r="W186" s="287"/>
      <c r="X186" s="931"/>
      <c r="Y186" s="931"/>
      <c r="Z186" s="287"/>
      <c r="AA186" s="287"/>
      <c r="AB186" s="931"/>
      <c r="AC186" s="287"/>
      <c r="AD186" s="287"/>
      <c r="AE186" s="278"/>
      <c r="AF186" s="278"/>
      <c r="AG186" s="290"/>
      <c r="AH186" s="933"/>
      <c r="AI186" s="934"/>
      <c r="AJ186" s="43"/>
    </row>
    <row r="187" spans="1:36" ht="24.95" customHeight="1" x14ac:dyDescent="0.2">
      <c r="A187" s="935"/>
      <c r="B187" s="821"/>
      <c r="C187" s="936"/>
      <c r="D187" s="821"/>
      <c r="E187" s="884"/>
      <c r="F187" s="822"/>
      <c r="G187" s="270"/>
      <c r="H187" s="270"/>
      <c r="I187" s="938"/>
      <c r="J187" s="939"/>
      <c r="K187" s="938"/>
      <c r="L187" s="939"/>
      <c r="M187" s="939"/>
      <c r="N187" s="939"/>
      <c r="O187" s="931"/>
      <c r="P187" s="939"/>
      <c r="Q187" s="939"/>
      <c r="R187" s="931"/>
      <c r="S187" s="940"/>
      <c r="T187" s="287">
        <v>0</v>
      </c>
      <c r="U187" s="931"/>
      <c r="V187" s="932"/>
      <c r="W187" s="287"/>
      <c r="X187" s="931"/>
      <c r="Y187" s="931"/>
      <c r="Z187" s="287"/>
      <c r="AA187" s="287"/>
      <c r="AB187" s="931"/>
      <c r="AC187" s="287"/>
      <c r="AD187" s="287"/>
      <c r="AE187" s="278"/>
      <c r="AF187" s="278"/>
      <c r="AG187" s="290"/>
      <c r="AH187" s="933"/>
      <c r="AI187" s="934"/>
      <c r="AJ187" s="43"/>
    </row>
    <row r="188" spans="1:36" ht="24.95" customHeight="1" x14ac:dyDescent="0.2">
      <c r="A188" s="935"/>
      <c r="B188" s="821"/>
      <c r="C188" s="936"/>
      <c r="D188" s="821"/>
      <c r="E188" s="884"/>
      <c r="F188" s="822"/>
      <c r="G188" s="270"/>
      <c r="H188" s="270"/>
      <c r="I188" s="938"/>
      <c r="J188" s="939"/>
      <c r="K188" s="938"/>
      <c r="L188" s="939"/>
      <c r="M188" s="939"/>
      <c r="N188" s="939"/>
      <c r="O188" s="931">
        <f t="shared" ref="O188" si="283">L188</f>
        <v>0</v>
      </c>
      <c r="P188" s="939">
        <f t="shared" ref="P188" si="284">M188</f>
        <v>0</v>
      </c>
      <c r="Q188" s="939">
        <f t="shared" ref="Q188" si="285">N188</f>
        <v>0</v>
      </c>
      <c r="R188" s="931">
        <f>SUM(O188:Q190)</f>
        <v>0</v>
      </c>
      <c r="S188" s="940">
        <f>R188</f>
        <v>0</v>
      </c>
      <c r="T188" s="287">
        <v>0</v>
      </c>
      <c r="U188" s="931">
        <f>S188-T188-T189-T190</f>
        <v>0</v>
      </c>
      <c r="V188" s="932">
        <f>S188*0.8</f>
        <v>0</v>
      </c>
      <c r="W188" s="287"/>
      <c r="X188" s="931">
        <f>V188-W188-W189-W190</f>
        <v>0</v>
      </c>
      <c r="Y188" s="931">
        <f t="shared" ref="Y188" si="286">S188*0.17/1.065</f>
        <v>0</v>
      </c>
      <c r="Z188" s="287"/>
      <c r="AA188" s="287"/>
      <c r="AB188" s="931">
        <f t="shared" ref="AB188" si="287">V188*0.2/1.065</f>
        <v>0</v>
      </c>
      <c r="AC188" s="287"/>
      <c r="AD188" s="287"/>
      <c r="AE188" s="278"/>
      <c r="AF188" s="278"/>
      <c r="AG188" s="290"/>
      <c r="AH188" s="933">
        <f>V188-Y188-AB188-AG188-AG189-AG190</f>
        <v>0</v>
      </c>
      <c r="AI188" s="934"/>
      <c r="AJ188" s="43"/>
    </row>
    <row r="189" spans="1:36" ht="24.95" customHeight="1" x14ac:dyDescent="0.2">
      <c r="A189" s="935"/>
      <c r="B189" s="821"/>
      <c r="C189" s="936"/>
      <c r="D189" s="821"/>
      <c r="E189" s="884"/>
      <c r="F189" s="822"/>
      <c r="G189" s="270"/>
      <c r="H189" s="270"/>
      <c r="I189" s="938"/>
      <c r="J189" s="939"/>
      <c r="K189" s="938"/>
      <c r="L189" s="939"/>
      <c r="M189" s="939"/>
      <c r="N189" s="939"/>
      <c r="O189" s="931"/>
      <c r="P189" s="939"/>
      <c r="Q189" s="939"/>
      <c r="R189" s="931"/>
      <c r="S189" s="940"/>
      <c r="T189" s="287">
        <v>0</v>
      </c>
      <c r="U189" s="931"/>
      <c r="V189" s="932"/>
      <c r="W189" s="287"/>
      <c r="X189" s="931"/>
      <c r="Y189" s="931"/>
      <c r="Z189" s="287"/>
      <c r="AA189" s="287"/>
      <c r="AB189" s="931"/>
      <c r="AC189" s="287"/>
      <c r="AD189" s="287"/>
      <c r="AE189" s="278"/>
      <c r="AF189" s="278"/>
      <c r="AG189" s="290"/>
      <c r="AH189" s="933"/>
      <c r="AI189" s="934"/>
      <c r="AJ189" s="43"/>
    </row>
    <row r="190" spans="1:36" ht="24.95" customHeight="1" thickBot="1" x14ac:dyDescent="0.25">
      <c r="A190" s="957"/>
      <c r="B190" s="958"/>
      <c r="C190" s="959"/>
      <c r="D190" s="958"/>
      <c r="E190" s="960"/>
      <c r="F190" s="961"/>
      <c r="G190" s="281"/>
      <c r="H190" s="281"/>
      <c r="I190" s="962"/>
      <c r="J190" s="955"/>
      <c r="K190" s="962"/>
      <c r="L190" s="955"/>
      <c r="M190" s="955"/>
      <c r="N190" s="955"/>
      <c r="O190" s="952"/>
      <c r="P190" s="955"/>
      <c r="Q190" s="955"/>
      <c r="R190" s="952"/>
      <c r="S190" s="956"/>
      <c r="T190" s="322">
        <v>0</v>
      </c>
      <c r="U190" s="952"/>
      <c r="V190" s="951"/>
      <c r="W190" s="322"/>
      <c r="X190" s="952"/>
      <c r="Y190" s="952"/>
      <c r="Z190" s="322"/>
      <c r="AA190" s="322"/>
      <c r="AB190" s="952"/>
      <c r="AC190" s="322"/>
      <c r="AD190" s="322"/>
      <c r="AE190" s="323"/>
      <c r="AF190" s="323"/>
      <c r="AG190" s="324"/>
      <c r="AH190" s="953"/>
      <c r="AI190" s="954"/>
      <c r="AJ190" s="43"/>
    </row>
    <row r="191" spans="1:36" s="114" customFormat="1" ht="24.95" customHeight="1" thickBot="1" x14ac:dyDescent="0.25">
      <c r="A191" s="945" t="s">
        <v>224</v>
      </c>
      <c r="B191" s="946"/>
      <c r="C191" s="946"/>
      <c r="D191" s="946"/>
      <c r="E191" s="946"/>
      <c r="F191" s="946"/>
      <c r="G191" s="946"/>
      <c r="H191" s="946"/>
      <c r="I191" s="325">
        <f t="shared" ref="I191:N191" si="288">SUM(I5:I190)</f>
        <v>4148305</v>
      </c>
      <c r="J191" s="325">
        <f t="shared" si="288"/>
        <v>164649</v>
      </c>
      <c r="K191" s="325">
        <f t="shared" si="288"/>
        <v>1820000</v>
      </c>
      <c r="L191" s="325">
        <f t="shared" si="288"/>
        <v>3181447.4</v>
      </c>
      <c r="M191" s="325">
        <f t="shared" si="288"/>
        <v>181506.6</v>
      </c>
      <c r="N191" s="325">
        <f t="shared" si="288"/>
        <v>1545000</v>
      </c>
      <c r="O191" s="325">
        <f t="shared" ref="O191:Y191" si="289">SUM(O5:O136)</f>
        <v>3567315.32</v>
      </c>
      <c r="P191" s="325">
        <f t="shared" si="289"/>
        <v>193055.6</v>
      </c>
      <c r="Q191" s="325">
        <f t="shared" si="289"/>
        <v>220000</v>
      </c>
      <c r="R191" s="325">
        <f t="shared" si="289"/>
        <v>3980370.92</v>
      </c>
      <c r="S191" s="325">
        <f t="shared" si="289"/>
        <v>3980370.92</v>
      </c>
      <c r="T191" s="325">
        <f t="shared" si="289"/>
        <v>1780562.72</v>
      </c>
      <c r="U191" s="325">
        <f t="shared" si="289"/>
        <v>2199808.2000000002</v>
      </c>
      <c r="V191" s="325">
        <f t="shared" si="289"/>
        <v>3253832.9859999996</v>
      </c>
      <c r="W191" s="325">
        <f t="shared" si="289"/>
        <v>861822.3400000002</v>
      </c>
      <c r="X191" s="325">
        <f t="shared" si="289"/>
        <v>2392010.6460000002</v>
      </c>
      <c r="Y191" s="325">
        <f t="shared" si="289"/>
        <v>626990.31586854486</v>
      </c>
      <c r="Z191" s="325"/>
      <c r="AA191" s="325"/>
      <c r="AB191" s="325">
        <f>SUM(AB5:AB7)</f>
        <v>5636.0563380281701</v>
      </c>
      <c r="AC191" s="325"/>
      <c r="AD191" s="325"/>
      <c r="AE191" s="326"/>
      <c r="AF191" s="326"/>
      <c r="AG191" s="326">
        <f>SUM(AG5:AG136)</f>
        <v>87480</v>
      </c>
      <c r="AH191" s="325">
        <f>SUM(AH5:AH7)</f>
        <v>18387.633802816901</v>
      </c>
      <c r="AI191" s="327"/>
    </row>
    <row r="192" spans="1:36" ht="24.95" customHeight="1" x14ac:dyDescent="0.2">
      <c r="A192" s="745"/>
      <c r="B192" s="745"/>
      <c r="C192" s="745"/>
      <c r="D192" s="745"/>
      <c r="E192" s="745"/>
      <c r="F192" s="745"/>
      <c r="G192" s="745"/>
      <c r="H192" s="745"/>
      <c r="I192" s="46"/>
      <c r="J192" s="46"/>
      <c r="K192" s="46"/>
      <c r="L192" s="46"/>
      <c r="M192" s="46"/>
      <c r="N192" s="46"/>
      <c r="O192" s="46"/>
      <c r="P192" s="46"/>
      <c r="Q192" s="46"/>
      <c r="R192" s="46"/>
      <c r="S192" s="48"/>
      <c r="T192" s="46"/>
      <c r="U192" s="46"/>
      <c r="V192" s="50"/>
      <c r="W192" s="46"/>
      <c r="X192" s="46"/>
      <c r="Y192" s="46"/>
      <c r="Z192" s="46"/>
      <c r="AA192" s="46"/>
      <c r="AB192" s="46"/>
      <c r="AC192" s="46"/>
      <c r="AD192" s="46"/>
      <c r="AE192" s="51"/>
      <c r="AF192" s="51"/>
      <c r="AG192" s="180"/>
      <c r="AH192" s="52"/>
      <c r="AI192" s="53"/>
    </row>
  </sheetData>
  <mergeCells count="1391">
    <mergeCell ref="AE122:AE124"/>
    <mergeCell ref="AF122:AF124"/>
    <mergeCell ref="AF125:AF127"/>
    <mergeCell ref="AE125:AE127"/>
    <mergeCell ref="T56:T58"/>
    <mergeCell ref="T53:T55"/>
    <mergeCell ref="T41:T43"/>
    <mergeCell ref="T119:T121"/>
    <mergeCell ref="T122:T124"/>
    <mergeCell ref="X164:X166"/>
    <mergeCell ref="Y164:Y166"/>
    <mergeCell ref="AB164:AB166"/>
    <mergeCell ref="U161:U163"/>
    <mergeCell ref="V161:V163"/>
    <mergeCell ref="X161:X163"/>
    <mergeCell ref="Y161:Y163"/>
    <mergeCell ref="AB161:AB163"/>
    <mergeCell ref="AH161:AH163"/>
    <mergeCell ref="S164:S166"/>
    <mergeCell ref="U164:U166"/>
    <mergeCell ref="V164:V166"/>
    <mergeCell ref="U140:U142"/>
    <mergeCell ref="V140:V142"/>
    <mergeCell ref="U143:U145"/>
    <mergeCell ref="V143:V145"/>
    <mergeCell ref="X143:X145"/>
    <mergeCell ref="Y143:Y145"/>
    <mergeCell ref="AB143:AB145"/>
    <mergeCell ref="AB140:AB142"/>
    <mergeCell ref="X71:X73"/>
    <mergeCell ref="Y71:Y73"/>
    <mergeCell ref="AH143:AH145"/>
    <mergeCell ref="U71:U73"/>
    <mergeCell ref="V71:V73"/>
    <mergeCell ref="AB71:AB73"/>
    <mergeCell ref="AH71:AH73"/>
    <mergeCell ref="G161:H169"/>
    <mergeCell ref="D164:D166"/>
    <mergeCell ref="I164:I166"/>
    <mergeCell ref="J164:J166"/>
    <mergeCell ref="K164:K166"/>
    <mergeCell ref="L164:L166"/>
    <mergeCell ref="M164:M166"/>
    <mergeCell ref="N164:N166"/>
    <mergeCell ref="O164:O166"/>
    <mergeCell ref="I167:I169"/>
    <mergeCell ref="J167:J169"/>
    <mergeCell ref="K167:K169"/>
    <mergeCell ref="L167:L169"/>
    <mergeCell ref="M167:M169"/>
    <mergeCell ref="N167:N169"/>
    <mergeCell ref="O167:O169"/>
    <mergeCell ref="P167:P169"/>
    <mergeCell ref="AI161:AI163"/>
    <mergeCell ref="A158:A169"/>
    <mergeCell ref="D161:D163"/>
    <mergeCell ref="I161:I163"/>
    <mergeCell ref="J161:J163"/>
    <mergeCell ref="K161:K163"/>
    <mergeCell ref="L161:L163"/>
    <mergeCell ref="M161:M163"/>
    <mergeCell ref="N161:N163"/>
    <mergeCell ref="O161:O163"/>
    <mergeCell ref="P161:P163"/>
    <mergeCell ref="Q161:Q163"/>
    <mergeCell ref="R161:R163"/>
    <mergeCell ref="S161:S163"/>
    <mergeCell ref="C158:C169"/>
    <mergeCell ref="B158:B169"/>
    <mergeCell ref="K158:K160"/>
    <mergeCell ref="AH164:AH166"/>
    <mergeCell ref="AI164:AI166"/>
    <mergeCell ref="D167:D169"/>
    <mergeCell ref="AI167:AI169"/>
    <mergeCell ref="E158:E169"/>
    <mergeCell ref="F158:F169"/>
    <mergeCell ref="Q167:Q169"/>
    <mergeCell ref="R167:R169"/>
    <mergeCell ref="S167:S169"/>
    <mergeCell ref="U167:U169"/>
    <mergeCell ref="V167:V169"/>
    <mergeCell ref="X167:X169"/>
    <mergeCell ref="Y167:Y169"/>
    <mergeCell ref="AB167:AB169"/>
    <mergeCell ref="AH167:AH169"/>
    <mergeCell ref="O149:O151"/>
    <mergeCell ref="P149:P151"/>
    <mergeCell ref="Q149:Q151"/>
    <mergeCell ref="R149:R151"/>
    <mergeCell ref="S149:S151"/>
    <mergeCell ref="J152:J154"/>
    <mergeCell ref="K152:K154"/>
    <mergeCell ref="L152:L154"/>
    <mergeCell ref="M152:M154"/>
    <mergeCell ref="N152:N154"/>
    <mergeCell ref="O152:O154"/>
    <mergeCell ref="P152:P154"/>
    <mergeCell ref="Q152:Q154"/>
    <mergeCell ref="R152:R154"/>
    <mergeCell ref="S152:S154"/>
    <mergeCell ref="O146:O148"/>
    <mergeCell ref="P146:P148"/>
    <mergeCell ref="Q146:Q148"/>
    <mergeCell ref="R146:R148"/>
    <mergeCell ref="S146:S148"/>
    <mergeCell ref="B146:B148"/>
    <mergeCell ref="B149:B151"/>
    <mergeCell ref="B152:B154"/>
    <mergeCell ref="C146:C148"/>
    <mergeCell ref="C149:C151"/>
    <mergeCell ref="C152:C154"/>
    <mergeCell ref="I146:I148"/>
    <mergeCell ref="I149:I151"/>
    <mergeCell ref="I152:I154"/>
    <mergeCell ref="D146:D148"/>
    <mergeCell ref="E146:E148"/>
    <mergeCell ref="F146:F148"/>
    <mergeCell ref="K146:K148"/>
    <mergeCell ref="J146:J148"/>
    <mergeCell ref="L146:L148"/>
    <mergeCell ref="M146:M148"/>
    <mergeCell ref="N146:N148"/>
    <mergeCell ref="E149:E151"/>
    <mergeCell ref="F149:F151"/>
    <mergeCell ref="E152:E154"/>
    <mergeCell ref="F152:F154"/>
    <mergeCell ref="J149:J151"/>
    <mergeCell ref="K149:K151"/>
    <mergeCell ref="L149:L151"/>
    <mergeCell ref="M149:M151"/>
    <mergeCell ref="N149:N151"/>
    <mergeCell ref="D152:D154"/>
    <mergeCell ref="D149:D151"/>
    <mergeCell ref="I68:I70"/>
    <mergeCell ref="J68:J70"/>
    <mergeCell ref="K68:K70"/>
    <mergeCell ref="L68:L70"/>
    <mergeCell ref="M68:M70"/>
    <mergeCell ref="K77:K79"/>
    <mergeCell ref="L77:L79"/>
    <mergeCell ref="M77:M79"/>
    <mergeCell ref="N77:N79"/>
    <mergeCell ref="P80:P82"/>
    <mergeCell ref="Q80:Q82"/>
    <mergeCell ref="R80:R82"/>
    <mergeCell ref="S80:S82"/>
    <mergeCell ref="K80:K82"/>
    <mergeCell ref="L80:L82"/>
    <mergeCell ref="M80:M82"/>
    <mergeCell ref="V83:V85"/>
    <mergeCell ref="AH140:AH142"/>
    <mergeCell ref="B59:B76"/>
    <mergeCell ref="A59:A76"/>
    <mergeCell ref="C59:C76"/>
    <mergeCell ref="G80:H82"/>
    <mergeCell ref="E59:E76"/>
    <mergeCell ref="F59:F76"/>
    <mergeCell ref="G62:H76"/>
    <mergeCell ref="G50:H58"/>
    <mergeCell ref="Y62:Y64"/>
    <mergeCell ref="AB62:AB64"/>
    <mergeCell ref="AH62:AH64"/>
    <mergeCell ref="O77:O79"/>
    <mergeCell ref="P77:P79"/>
    <mergeCell ref="Q77:Q79"/>
    <mergeCell ref="S50:S52"/>
    <mergeCell ref="R56:R58"/>
    <mergeCell ref="S56:S58"/>
    <mergeCell ref="L50:L52"/>
    <mergeCell ref="K56:K58"/>
    <mergeCell ref="L56:L58"/>
    <mergeCell ref="K50:K52"/>
    <mergeCell ref="L59:L61"/>
    <mergeCell ref="M59:M61"/>
    <mergeCell ref="A140:A142"/>
    <mergeCell ref="B140:B142"/>
    <mergeCell ref="C140:C142"/>
    <mergeCell ref="D140:D142"/>
    <mergeCell ref="E140:E142"/>
    <mergeCell ref="F140:F142"/>
    <mergeCell ref="I140:I142"/>
    <mergeCell ref="J140:J142"/>
    <mergeCell ref="D71:D73"/>
    <mergeCell ref="I71:I73"/>
    <mergeCell ref="J71:J73"/>
    <mergeCell ref="K71:K73"/>
    <mergeCell ref="L71:L73"/>
    <mergeCell ref="M71:M73"/>
    <mergeCell ref="N71:N73"/>
    <mergeCell ref="O71:O73"/>
    <mergeCell ref="P71:P73"/>
    <mergeCell ref="Q71:Q73"/>
    <mergeCell ref="R71:R73"/>
    <mergeCell ref="S71:S73"/>
    <mergeCell ref="A143:A145"/>
    <mergeCell ref="B143:B145"/>
    <mergeCell ref="C143:C145"/>
    <mergeCell ref="D143:D145"/>
    <mergeCell ref="E143:E145"/>
    <mergeCell ref="F143:F145"/>
    <mergeCell ref="K140:K142"/>
    <mergeCell ref="L140:L142"/>
    <mergeCell ref="M140:M142"/>
    <mergeCell ref="N140:N142"/>
    <mergeCell ref="O140:O142"/>
    <mergeCell ref="P140:P142"/>
    <mergeCell ref="Q140:Q142"/>
    <mergeCell ref="R140:R142"/>
    <mergeCell ref="S140:S142"/>
    <mergeCell ref="D74:D76"/>
    <mergeCell ref="I74:I76"/>
    <mergeCell ref="J74:J76"/>
    <mergeCell ref="K74:K76"/>
    <mergeCell ref="L74:L76"/>
    <mergeCell ref="U14:U16"/>
    <mergeCell ref="AH17:AH19"/>
    <mergeCell ref="AI17:AI19"/>
    <mergeCell ref="X17:X19"/>
    <mergeCell ref="Y17:Y19"/>
    <mergeCell ref="AB17:AB19"/>
    <mergeCell ref="V20:V22"/>
    <mergeCell ref="X20:X22"/>
    <mergeCell ref="Y20:Y22"/>
    <mergeCell ref="AB20:AB22"/>
    <mergeCell ref="AH20:AH22"/>
    <mergeCell ref="O17:O19"/>
    <mergeCell ref="AI53:AI55"/>
    <mergeCell ref="S41:S43"/>
    <mergeCell ref="U41:U43"/>
    <mergeCell ref="V41:V43"/>
    <mergeCell ref="X41:X43"/>
    <mergeCell ref="Y41:Y43"/>
    <mergeCell ref="AB41:AB43"/>
    <mergeCell ref="AH41:AH43"/>
    <mergeCell ref="AI20:AI22"/>
    <mergeCell ref="Y23:Y25"/>
    <mergeCell ref="AH32:AH34"/>
    <mergeCell ref="S26:S28"/>
    <mergeCell ref="Q26:Q28"/>
    <mergeCell ref="R26:R28"/>
    <mergeCell ref="AI29:AI31"/>
    <mergeCell ref="Y35:Y37"/>
    <mergeCell ref="AB35:AB37"/>
    <mergeCell ref="AH35:AH37"/>
    <mergeCell ref="X50:X52"/>
    <mergeCell ref="Y50:Y52"/>
    <mergeCell ref="X5:X7"/>
    <mergeCell ref="AI65:AI67"/>
    <mergeCell ref="U65:U67"/>
    <mergeCell ref="V65:V67"/>
    <mergeCell ref="X65:X67"/>
    <mergeCell ref="Y65:Y67"/>
    <mergeCell ref="AB65:AB67"/>
    <mergeCell ref="AH65:AH67"/>
    <mergeCell ref="U62:U64"/>
    <mergeCell ref="V62:V64"/>
    <mergeCell ref="X62:X64"/>
    <mergeCell ref="A5:A16"/>
    <mergeCell ref="B5:B16"/>
    <mergeCell ref="C5:C16"/>
    <mergeCell ref="E5:E16"/>
    <mergeCell ref="K14:K16"/>
    <mergeCell ref="L14:L16"/>
    <mergeCell ref="M14:M16"/>
    <mergeCell ref="N14:N16"/>
    <mergeCell ref="O14:O16"/>
    <mergeCell ref="V14:V16"/>
    <mergeCell ref="P14:P16"/>
    <mergeCell ref="Q14:Q16"/>
    <mergeCell ref="R14:R16"/>
    <mergeCell ref="S14:S16"/>
    <mergeCell ref="J14:J16"/>
    <mergeCell ref="L17:L19"/>
    <mergeCell ref="E17:E19"/>
    <mergeCell ref="M17:M19"/>
    <mergeCell ref="Q17:Q19"/>
    <mergeCell ref="R17:R19"/>
    <mergeCell ref="N17:N19"/>
    <mergeCell ref="M56:M58"/>
    <mergeCell ref="N56:N58"/>
    <mergeCell ref="O56:O58"/>
    <mergeCell ref="P56:P58"/>
    <mergeCell ref="G14:H16"/>
    <mergeCell ref="C17:C19"/>
    <mergeCell ref="U17:U19"/>
    <mergeCell ref="V17:V19"/>
    <mergeCell ref="V5:V7"/>
    <mergeCell ref="K5:K7"/>
    <mergeCell ref="L5:L7"/>
    <mergeCell ref="M5:M7"/>
    <mergeCell ref="N5:N7"/>
    <mergeCell ref="O5:O7"/>
    <mergeCell ref="K59:K61"/>
    <mergeCell ref="AB47:AB49"/>
    <mergeCell ref="AH47:AH49"/>
    <mergeCell ref="P23:P25"/>
    <mergeCell ref="O20:O22"/>
    <mergeCell ref="P20:P22"/>
    <mergeCell ref="N20:N22"/>
    <mergeCell ref="Q20:Q22"/>
    <mergeCell ref="R20:R22"/>
    <mergeCell ref="S20:S22"/>
    <mergeCell ref="K53:K55"/>
    <mergeCell ref="L53:L55"/>
    <mergeCell ref="M53:M55"/>
    <mergeCell ref="N53:N55"/>
    <mergeCell ref="O53:O55"/>
    <mergeCell ref="P53:P55"/>
    <mergeCell ref="Q53:Q55"/>
    <mergeCell ref="K23:K25"/>
    <mergeCell ref="I65:I67"/>
    <mergeCell ref="J65:J67"/>
    <mergeCell ref="K65:K67"/>
    <mergeCell ref="L65:L67"/>
    <mergeCell ref="M65:M67"/>
    <mergeCell ref="N65:N67"/>
    <mergeCell ref="O65:O67"/>
    <mergeCell ref="P65:P67"/>
    <mergeCell ref="Q65:Q67"/>
    <mergeCell ref="R65:R67"/>
    <mergeCell ref="S65:S67"/>
    <mergeCell ref="K62:K64"/>
    <mergeCell ref="L62:L64"/>
    <mergeCell ref="M62:M64"/>
    <mergeCell ref="V35:V37"/>
    <mergeCell ref="X35:X37"/>
    <mergeCell ref="Y38:Y40"/>
    <mergeCell ref="R44:R46"/>
    <mergeCell ref="S44:S46"/>
    <mergeCell ref="U44:U46"/>
    <mergeCell ref="V44:V46"/>
    <mergeCell ref="X44:X46"/>
    <mergeCell ref="N35:N37"/>
    <mergeCell ref="O35:O37"/>
    <mergeCell ref="P35:P37"/>
    <mergeCell ref="R53:R55"/>
    <mergeCell ref="S53:S55"/>
    <mergeCell ref="U53:U55"/>
    <mergeCell ref="V53:V55"/>
    <mergeCell ref="X53:X55"/>
    <mergeCell ref="U50:U52"/>
    <mergeCell ref="V50:V52"/>
    <mergeCell ref="L23:L25"/>
    <mergeCell ref="M23:M25"/>
    <mergeCell ref="P29:P31"/>
    <mergeCell ref="Q29:Q31"/>
    <mergeCell ref="I62:I64"/>
    <mergeCell ref="N80:N82"/>
    <mergeCell ref="O80:O82"/>
    <mergeCell ref="R68:R70"/>
    <mergeCell ref="S68:S70"/>
    <mergeCell ref="AI68:AI70"/>
    <mergeCell ref="U68:U70"/>
    <mergeCell ref="V68:V70"/>
    <mergeCell ref="X68:X70"/>
    <mergeCell ref="Y68:Y70"/>
    <mergeCell ref="AB68:AB70"/>
    <mergeCell ref="AH68:AH70"/>
    <mergeCell ref="AI71:AI73"/>
    <mergeCell ref="AH74:AH76"/>
    <mergeCell ref="AI74:AI76"/>
    <mergeCell ref="S29:S31"/>
    <mergeCell ref="K38:K40"/>
    <mergeCell ref="L38:L40"/>
    <mergeCell ref="K41:K43"/>
    <mergeCell ref="AB23:AB25"/>
    <mergeCell ref="AI38:AI40"/>
    <mergeCell ref="U38:U40"/>
    <mergeCell ref="V38:V40"/>
    <mergeCell ref="X38:X40"/>
    <mergeCell ref="U56:U58"/>
    <mergeCell ref="AH53:AH55"/>
    <mergeCell ref="AI41:AI43"/>
    <mergeCell ref="Q56:Q58"/>
    <mergeCell ref="D77:D79"/>
    <mergeCell ref="R77:R79"/>
    <mergeCell ref="S77:S79"/>
    <mergeCell ref="AI80:AI82"/>
    <mergeCell ref="U80:U82"/>
    <mergeCell ref="V80:V82"/>
    <mergeCell ref="X80:X82"/>
    <mergeCell ref="Y80:Y82"/>
    <mergeCell ref="AB80:AB82"/>
    <mergeCell ref="AH80:AH82"/>
    <mergeCell ref="M74:M76"/>
    <mergeCell ref="N74:N76"/>
    <mergeCell ref="O74:O76"/>
    <mergeCell ref="P74:P76"/>
    <mergeCell ref="Q74:Q76"/>
    <mergeCell ref="R74:R76"/>
    <mergeCell ref="S74:S76"/>
    <mergeCell ref="AH77:AH79"/>
    <mergeCell ref="AI77:AI79"/>
    <mergeCell ref="U77:U79"/>
    <mergeCell ref="V77:V79"/>
    <mergeCell ref="X77:X79"/>
    <mergeCell ref="Y77:Y79"/>
    <mergeCell ref="U74:U76"/>
    <mergeCell ref="V74:V76"/>
    <mergeCell ref="X74:X76"/>
    <mergeCell ref="Y74:Y76"/>
    <mergeCell ref="AB74:AB76"/>
    <mergeCell ref="A38:A46"/>
    <mergeCell ref="B38:B46"/>
    <mergeCell ref="C38:C46"/>
    <mergeCell ref="A17:A19"/>
    <mergeCell ref="A20:A22"/>
    <mergeCell ref="B20:B22"/>
    <mergeCell ref="B17:B19"/>
    <mergeCell ref="D59:D61"/>
    <mergeCell ref="D62:D64"/>
    <mergeCell ref="D68:D70"/>
    <mergeCell ref="D53:D55"/>
    <mergeCell ref="N23:N25"/>
    <mergeCell ref="O23:O25"/>
    <mergeCell ref="I38:I40"/>
    <mergeCell ref="J38:J40"/>
    <mergeCell ref="J47:J49"/>
    <mergeCell ref="K47:K49"/>
    <mergeCell ref="L47:L49"/>
    <mergeCell ref="M47:M49"/>
    <mergeCell ref="M41:M43"/>
    <mergeCell ref="F32:F34"/>
    <mergeCell ref="D47:D49"/>
    <mergeCell ref="F47:F49"/>
    <mergeCell ref="D65:D67"/>
    <mergeCell ref="N62:N64"/>
    <mergeCell ref="O62:O64"/>
    <mergeCell ref="F53:F55"/>
    <mergeCell ref="I53:I55"/>
    <mergeCell ref="J53:J55"/>
    <mergeCell ref="M44:M46"/>
    <mergeCell ref="N44:N46"/>
    <mergeCell ref="D17:D19"/>
    <mergeCell ref="D14:D16"/>
    <mergeCell ref="D29:D31"/>
    <mergeCell ref="F29:F31"/>
    <mergeCell ref="D89:D91"/>
    <mergeCell ref="C77:C82"/>
    <mergeCell ref="B77:B82"/>
    <mergeCell ref="D32:D34"/>
    <mergeCell ref="A77:A82"/>
    <mergeCell ref="D44:D46"/>
    <mergeCell ref="D50:D52"/>
    <mergeCell ref="C20:C22"/>
    <mergeCell ref="A83:A85"/>
    <mergeCell ref="B83:B85"/>
    <mergeCell ref="C83:C85"/>
    <mergeCell ref="D80:D82"/>
    <mergeCell ref="D83:D85"/>
    <mergeCell ref="D86:D88"/>
    <mergeCell ref="C23:C34"/>
    <mergeCell ref="B23:B34"/>
    <mergeCell ref="A23:A34"/>
    <mergeCell ref="D23:D25"/>
    <mergeCell ref="A35:A37"/>
    <mergeCell ref="B35:B37"/>
    <mergeCell ref="C35:C37"/>
    <mergeCell ref="D35:D37"/>
    <mergeCell ref="D41:D43"/>
    <mergeCell ref="A47:A58"/>
    <mergeCell ref="B47:B58"/>
    <mergeCell ref="C47:C58"/>
    <mergeCell ref="D56:D58"/>
    <mergeCell ref="D20:D22"/>
    <mergeCell ref="E83:E85"/>
    <mergeCell ref="F83:F85"/>
    <mergeCell ref="F77:F82"/>
    <mergeCell ref="E77:E82"/>
    <mergeCell ref="F50:F52"/>
    <mergeCell ref="I41:I43"/>
    <mergeCell ref="I47:I49"/>
    <mergeCell ref="I59:I61"/>
    <mergeCell ref="F20:F22"/>
    <mergeCell ref="I20:I22"/>
    <mergeCell ref="J20:J22"/>
    <mergeCell ref="F17:F19"/>
    <mergeCell ref="I17:I19"/>
    <mergeCell ref="J17:J19"/>
    <mergeCell ref="J26:J28"/>
    <mergeCell ref="G41:H46"/>
    <mergeCell ref="J41:J43"/>
    <mergeCell ref="E35:E37"/>
    <mergeCell ref="J59:J61"/>
    <mergeCell ref="J77:J79"/>
    <mergeCell ref="J62:J64"/>
    <mergeCell ref="J56:J58"/>
    <mergeCell ref="I77:I79"/>
    <mergeCell ref="I80:I82"/>
    <mergeCell ref="I50:I52"/>
    <mergeCell ref="I56:I58"/>
    <mergeCell ref="E47:E58"/>
    <mergeCell ref="F56:F58"/>
    <mergeCell ref="F23:F25"/>
    <mergeCell ref="I29:I31"/>
    <mergeCell ref="J29:J31"/>
    <mergeCell ref="G26:H34"/>
    <mergeCell ref="J80:J82"/>
    <mergeCell ref="A1:AI1"/>
    <mergeCell ref="A2:A4"/>
    <mergeCell ref="B2:C2"/>
    <mergeCell ref="G2:H2"/>
    <mergeCell ref="I2:K2"/>
    <mergeCell ref="L2:N2"/>
    <mergeCell ref="O2:U2"/>
    <mergeCell ref="V2:AH2"/>
    <mergeCell ref="AI2:AI4"/>
    <mergeCell ref="K3:K4"/>
    <mergeCell ref="B3:B4"/>
    <mergeCell ref="C3:C4"/>
    <mergeCell ref="D3:D4"/>
    <mergeCell ref="E3:E4"/>
    <mergeCell ref="F3:F4"/>
    <mergeCell ref="G3:G4"/>
    <mergeCell ref="H3:H4"/>
    <mergeCell ref="I3:I4"/>
    <mergeCell ref="J3:J4"/>
    <mergeCell ref="D5:D7"/>
    <mergeCell ref="F5:F7"/>
    <mergeCell ref="I5:I7"/>
    <mergeCell ref="J5:J7"/>
    <mergeCell ref="J50:J52"/>
    <mergeCell ref="I35:I37"/>
    <mergeCell ref="J35:J37"/>
    <mergeCell ref="I23:I25"/>
    <mergeCell ref="F14:F16"/>
    <mergeCell ref="I14:I16"/>
    <mergeCell ref="X14:X16"/>
    <mergeCell ref="Y14:Y16"/>
    <mergeCell ref="AB14:AB16"/>
    <mergeCell ref="AH14:AH16"/>
    <mergeCell ref="I44:I46"/>
    <mergeCell ref="J44:J46"/>
    <mergeCell ref="K44:K46"/>
    <mergeCell ref="L44:L46"/>
    <mergeCell ref="P5:P7"/>
    <mergeCell ref="Q5:Q7"/>
    <mergeCell ref="D38:D40"/>
    <mergeCell ref="E38:E46"/>
    <mergeCell ref="E23:E34"/>
    <mergeCell ref="F35:F37"/>
    <mergeCell ref="E20:E22"/>
    <mergeCell ref="I26:I28"/>
    <mergeCell ref="D26:D28"/>
    <mergeCell ref="L20:L22"/>
    <mergeCell ref="P17:P19"/>
    <mergeCell ref="K17:K19"/>
    <mergeCell ref="M20:M22"/>
    <mergeCell ref="U20:U22"/>
    <mergeCell ref="AJ2:AJ4"/>
    <mergeCell ref="Y3:AG3"/>
    <mergeCell ref="AH3:AH4"/>
    <mergeCell ref="N3:N4"/>
    <mergeCell ref="O3:R3"/>
    <mergeCell ref="S3:U3"/>
    <mergeCell ref="V3:X3"/>
    <mergeCell ref="L3:L4"/>
    <mergeCell ref="M3:M4"/>
    <mergeCell ref="J23:J25"/>
    <mergeCell ref="F26:F28"/>
    <mergeCell ref="O44:O46"/>
    <mergeCell ref="N41:N43"/>
    <mergeCell ref="N38:N40"/>
    <mergeCell ref="L41:L43"/>
    <mergeCell ref="AI14:AI16"/>
    <mergeCell ref="AI5:AI7"/>
    <mergeCell ref="S17:S19"/>
    <mergeCell ref="AH26:AH28"/>
    <mergeCell ref="AI26:AI28"/>
    <mergeCell ref="Q35:Q37"/>
    <mergeCell ref="R35:R37"/>
    <mergeCell ref="O38:O40"/>
    <mergeCell ref="P38:P40"/>
    <mergeCell ref="Q38:Q40"/>
    <mergeCell ref="R38:R40"/>
    <mergeCell ref="N32:N34"/>
    <mergeCell ref="O32:O34"/>
    <mergeCell ref="P32:P34"/>
    <mergeCell ref="Q32:Q34"/>
    <mergeCell ref="R32:R34"/>
    <mergeCell ref="F38:F46"/>
    <mergeCell ref="K20:K22"/>
    <mergeCell ref="U26:U28"/>
    <mergeCell ref="V26:V28"/>
    <mergeCell ref="X26:X28"/>
    <mergeCell ref="Y26:Y28"/>
    <mergeCell ref="AB26:AB28"/>
    <mergeCell ref="N68:N70"/>
    <mergeCell ref="O68:O70"/>
    <mergeCell ref="P68:P70"/>
    <mergeCell ref="Q68:Q70"/>
    <mergeCell ref="P62:P64"/>
    <mergeCell ref="Q62:Q64"/>
    <mergeCell ref="R62:R64"/>
    <mergeCell ref="S62:S64"/>
    <mergeCell ref="Y53:Y55"/>
    <mergeCell ref="AB53:AB55"/>
    <mergeCell ref="K29:K31"/>
    <mergeCell ref="L29:L31"/>
    <mergeCell ref="M26:M28"/>
    <mergeCell ref="N26:N28"/>
    <mergeCell ref="O26:O28"/>
    <mergeCell ref="P26:P28"/>
    <mergeCell ref="K26:K28"/>
    <mergeCell ref="L26:L28"/>
    <mergeCell ref="AB29:AB31"/>
    <mergeCell ref="M38:M40"/>
    <mergeCell ref="S35:S37"/>
    <mergeCell ref="U35:U37"/>
    <mergeCell ref="M29:M31"/>
    <mergeCell ref="Q41:Q43"/>
    <mergeCell ref="O41:O43"/>
    <mergeCell ref="P41:P43"/>
    <mergeCell ref="R5:R7"/>
    <mergeCell ref="S5:S7"/>
    <mergeCell ref="U5:U7"/>
    <mergeCell ref="Y5:Y7"/>
    <mergeCell ref="AB5:AB7"/>
    <mergeCell ref="AH5:AH7"/>
    <mergeCell ref="O50:O52"/>
    <mergeCell ref="N47:N49"/>
    <mergeCell ref="O47:O49"/>
    <mergeCell ref="AH56:AH58"/>
    <mergeCell ref="P47:P49"/>
    <mergeCell ref="Q47:Q49"/>
    <mergeCell ref="R47:R49"/>
    <mergeCell ref="S47:S49"/>
    <mergeCell ref="U47:U49"/>
    <mergeCell ref="V47:V49"/>
    <mergeCell ref="X47:X49"/>
    <mergeCell ref="Y47:Y49"/>
    <mergeCell ref="N29:N31"/>
    <mergeCell ref="O29:O31"/>
    <mergeCell ref="S32:S34"/>
    <mergeCell ref="U32:U34"/>
    <mergeCell ref="V32:V34"/>
    <mergeCell ref="X32:X34"/>
    <mergeCell ref="Y32:Y34"/>
    <mergeCell ref="AB32:AB34"/>
    <mergeCell ref="AH29:AH31"/>
    <mergeCell ref="R29:R31"/>
    <mergeCell ref="Q50:Q52"/>
    <mergeCell ref="R50:R52"/>
    <mergeCell ref="R41:R43"/>
    <mergeCell ref="AH50:AH52"/>
    <mergeCell ref="AI83:AI85"/>
    <mergeCell ref="Q83:Q85"/>
    <mergeCell ref="R83:R85"/>
    <mergeCell ref="S83:S85"/>
    <mergeCell ref="AI59:AI61"/>
    <mergeCell ref="U59:U61"/>
    <mergeCell ref="V59:V61"/>
    <mergeCell ref="X59:X61"/>
    <mergeCell ref="Y59:Y61"/>
    <mergeCell ref="AB59:AB61"/>
    <mergeCell ref="AH59:AH61"/>
    <mergeCell ref="N59:N61"/>
    <mergeCell ref="O59:O61"/>
    <mergeCell ref="P59:P61"/>
    <mergeCell ref="Q59:Q61"/>
    <mergeCell ref="R59:R61"/>
    <mergeCell ref="S59:S61"/>
    <mergeCell ref="AB77:AB79"/>
    <mergeCell ref="AI62:AI64"/>
    <mergeCell ref="AH86:AH88"/>
    <mergeCell ref="AB83:AB85"/>
    <mergeCell ref="O86:O88"/>
    <mergeCell ref="P86:P88"/>
    <mergeCell ref="Q86:Q88"/>
    <mergeCell ref="R86:R88"/>
    <mergeCell ref="S86:S88"/>
    <mergeCell ref="U86:U88"/>
    <mergeCell ref="K83:K85"/>
    <mergeCell ref="L83:L85"/>
    <mergeCell ref="M83:M85"/>
    <mergeCell ref="X83:X85"/>
    <mergeCell ref="N83:N85"/>
    <mergeCell ref="O83:O85"/>
    <mergeCell ref="P83:P85"/>
    <mergeCell ref="I83:I85"/>
    <mergeCell ref="J83:J85"/>
    <mergeCell ref="U83:U85"/>
    <mergeCell ref="Y83:Y85"/>
    <mergeCell ref="AH83:AH85"/>
    <mergeCell ref="I86:I88"/>
    <mergeCell ref="J86:J88"/>
    <mergeCell ref="K86:K88"/>
    <mergeCell ref="L86:L88"/>
    <mergeCell ref="M86:M88"/>
    <mergeCell ref="N86:N88"/>
    <mergeCell ref="V89:V91"/>
    <mergeCell ref="X89:X91"/>
    <mergeCell ref="Y89:Y91"/>
    <mergeCell ref="AB89:AB91"/>
    <mergeCell ref="AH89:AH91"/>
    <mergeCell ref="AI89:AI91"/>
    <mergeCell ref="O89:O91"/>
    <mergeCell ref="P89:P91"/>
    <mergeCell ref="Q89:Q91"/>
    <mergeCell ref="R89:R91"/>
    <mergeCell ref="S89:S91"/>
    <mergeCell ref="U89:U91"/>
    <mergeCell ref="I89:I91"/>
    <mergeCell ref="J89:J91"/>
    <mergeCell ref="K89:K91"/>
    <mergeCell ref="L89:L91"/>
    <mergeCell ref="M89:M91"/>
    <mergeCell ref="N89:N91"/>
    <mergeCell ref="AI86:AI88"/>
    <mergeCell ref="V86:V88"/>
    <mergeCell ref="X86:X88"/>
    <mergeCell ref="Y86:Y88"/>
    <mergeCell ref="AB86:AB88"/>
    <mergeCell ref="D98:D100"/>
    <mergeCell ref="AB95:AB97"/>
    <mergeCell ref="X98:X100"/>
    <mergeCell ref="Y98:Y100"/>
    <mergeCell ref="AB98:AB100"/>
    <mergeCell ref="V92:V94"/>
    <mergeCell ref="X92:X94"/>
    <mergeCell ref="Y92:Y94"/>
    <mergeCell ref="AB92:AB94"/>
    <mergeCell ref="D92:D94"/>
    <mergeCell ref="D95:D97"/>
    <mergeCell ref="AH92:AH94"/>
    <mergeCell ref="AI92:AI94"/>
    <mergeCell ref="O92:O94"/>
    <mergeCell ref="P92:P94"/>
    <mergeCell ref="Q92:Q94"/>
    <mergeCell ref="R92:R94"/>
    <mergeCell ref="S92:S94"/>
    <mergeCell ref="U92:U94"/>
    <mergeCell ref="I92:I94"/>
    <mergeCell ref="J92:J94"/>
    <mergeCell ref="K92:K94"/>
    <mergeCell ref="L92:L94"/>
    <mergeCell ref="M92:M94"/>
    <mergeCell ref="N92:N94"/>
    <mergeCell ref="AH95:AH97"/>
    <mergeCell ref="AI95:AI97"/>
    <mergeCell ref="O95:O97"/>
    <mergeCell ref="P95:P97"/>
    <mergeCell ref="Q95:Q97"/>
    <mergeCell ref="R95:R97"/>
    <mergeCell ref="S95:S97"/>
    <mergeCell ref="U95:U97"/>
    <mergeCell ref="I98:I100"/>
    <mergeCell ref="J98:J100"/>
    <mergeCell ref="K98:K100"/>
    <mergeCell ref="L98:L100"/>
    <mergeCell ref="M98:M100"/>
    <mergeCell ref="N98:N100"/>
    <mergeCell ref="V95:V97"/>
    <mergeCell ref="X95:X97"/>
    <mergeCell ref="Y95:Y97"/>
    <mergeCell ref="I95:I97"/>
    <mergeCell ref="J95:J97"/>
    <mergeCell ref="K95:K97"/>
    <mergeCell ref="L95:L97"/>
    <mergeCell ref="M95:M97"/>
    <mergeCell ref="N95:N97"/>
    <mergeCell ref="V98:V100"/>
    <mergeCell ref="AH98:AH100"/>
    <mergeCell ref="AI98:AI100"/>
    <mergeCell ref="O98:O100"/>
    <mergeCell ref="P98:P100"/>
    <mergeCell ref="Q98:Q100"/>
    <mergeCell ref="R98:R100"/>
    <mergeCell ref="S98:S100"/>
    <mergeCell ref="U98:U100"/>
    <mergeCell ref="I101:I103"/>
    <mergeCell ref="J101:J103"/>
    <mergeCell ref="K101:K103"/>
    <mergeCell ref="L101:L103"/>
    <mergeCell ref="M101:M103"/>
    <mergeCell ref="N101:N103"/>
    <mergeCell ref="AB101:AB103"/>
    <mergeCell ref="AH101:AH103"/>
    <mergeCell ref="AI101:AI103"/>
    <mergeCell ref="V101:V103"/>
    <mergeCell ref="X101:X103"/>
    <mergeCell ref="Y101:Y103"/>
    <mergeCell ref="O101:O103"/>
    <mergeCell ref="P101:P103"/>
    <mergeCell ref="Q101:Q103"/>
    <mergeCell ref="R101:R103"/>
    <mergeCell ref="D107:D109"/>
    <mergeCell ref="I107:I109"/>
    <mergeCell ref="J107:J109"/>
    <mergeCell ref="K107:K109"/>
    <mergeCell ref="L107:L109"/>
    <mergeCell ref="M107:M109"/>
    <mergeCell ref="N107:N109"/>
    <mergeCell ref="AB107:AB109"/>
    <mergeCell ref="AH107:AH109"/>
    <mergeCell ref="S101:S103"/>
    <mergeCell ref="U101:U103"/>
    <mergeCell ref="I104:I106"/>
    <mergeCell ref="J104:J106"/>
    <mergeCell ref="K104:K106"/>
    <mergeCell ref="L104:L106"/>
    <mergeCell ref="M104:M106"/>
    <mergeCell ref="N104:N106"/>
    <mergeCell ref="D104:D106"/>
    <mergeCell ref="D101:D103"/>
    <mergeCell ref="V110:V112"/>
    <mergeCell ref="X110:X112"/>
    <mergeCell ref="Y110:Y112"/>
    <mergeCell ref="AB113:AB115"/>
    <mergeCell ref="AH113:AH115"/>
    <mergeCell ref="V113:V115"/>
    <mergeCell ref="X113:X115"/>
    <mergeCell ref="Y113:Y115"/>
    <mergeCell ref="V104:V106"/>
    <mergeCell ref="X104:X106"/>
    <mergeCell ref="Y104:Y106"/>
    <mergeCell ref="AB104:AB106"/>
    <mergeCell ref="AH104:AH106"/>
    <mergeCell ref="AI104:AI106"/>
    <mergeCell ref="O104:O106"/>
    <mergeCell ref="P104:P106"/>
    <mergeCell ref="Q104:Q106"/>
    <mergeCell ref="R104:R106"/>
    <mergeCell ref="S104:S106"/>
    <mergeCell ref="U104:U106"/>
    <mergeCell ref="AI107:AI109"/>
    <mergeCell ref="O107:O109"/>
    <mergeCell ref="P107:P109"/>
    <mergeCell ref="Q107:Q109"/>
    <mergeCell ref="R107:R109"/>
    <mergeCell ref="S107:S109"/>
    <mergeCell ref="U107:U109"/>
    <mergeCell ref="V107:V109"/>
    <mergeCell ref="X107:X109"/>
    <mergeCell ref="Y107:Y109"/>
    <mergeCell ref="D116:D118"/>
    <mergeCell ref="B86:B118"/>
    <mergeCell ref="A86:A118"/>
    <mergeCell ref="C86:C118"/>
    <mergeCell ref="N110:N112"/>
    <mergeCell ref="I113:I115"/>
    <mergeCell ref="J113:J115"/>
    <mergeCell ref="K113:K115"/>
    <mergeCell ref="L113:L115"/>
    <mergeCell ref="M113:M115"/>
    <mergeCell ref="N113:N115"/>
    <mergeCell ref="I110:I112"/>
    <mergeCell ref="J110:J112"/>
    <mergeCell ref="K110:K112"/>
    <mergeCell ref="L110:L112"/>
    <mergeCell ref="M110:M112"/>
    <mergeCell ref="AI113:AI115"/>
    <mergeCell ref="O113:O115"/>
    <mergeCell ref="P113:P115"/>
    <mergeCell ref="Q113:Q115"/>
    <mergeCell ref="R113:R115"/>
    <mergeCell ref="S113:S115"/>
    <mergeCell ref="U113:U115"/>
    <mergeCell ref="AB110:AB112"/>
    <mergeCell ref="AH110:AH112"/>
    <mergeCell ref="AI110:AI112"/>
    <mergeCell ref="O110:O112"/>
    <mergeCell ref="P110:P112"/>
    <mergeCell ref="Q110:Q112"/>
    <mergeCell ref="R110:R112"/>
    <mergeCell ref="S110:S112"/>
    <mergeCell ref="U110:U112"/>
    <mergeCell ref="E188:E190"/>
    <mergeCell ref="F188:F190"/>
    <mergeCell ref="I188:I190"/>
    <mergeCell ref="J188:J190"/>
    <mergeCell ref="K188:K190"/>
    <mergeCell ref="V116:V118"/>
    <mergeCell ref="X116:X118"/>
    <mergeCell ref="Y116:Y118"/>
    <mergeCell ref="AB116:AB118"/>
    <mergeCell ref="AH116:AH118"/>
    <mergeCell ref="AI116:AI118"/>
    <mergeCell ref="O116:O118"/>
    <mergeCell ref="P116:P118"/>
    <mergeCell ref="Q116:Q118"/>
    <mergeCell ref="R116:R118"/>
    <mergeCell ref="S116:S118"/>
    <mergeCell ref="U116:U118"/>
    <mergeCell ref="I116:I118"/>
    <mergeCell ref="J116:J118"/>
    <mergeCell ref="K116:K118"/>
    <mergeCell ref="L116:L118"/>
    <mergeCell ref="M116:M118"/>
    <mergeCell ref="N116:N118"/>
    <mergeCell ref="AI143:AI145"/>
    <mergeCell ref="AI140:AI142"/>
    <mergeCell ref="AI137:AI139"/>
    <mergeCell ref="X140:X142"/>
    <mergeCell ref="Y140:Y142"/>
    <mergeCell ref="V137:V139"/>
    <mergeCell ref="X137:X139"/>
    <mergeCell ref="Y137:Y139"/>
    <mergeCell ref="AB137:AB139"/>
    <mergeCell ref="AI188:AI190"/>
    <mergeCell ref="A137:A139"/>
    <mergeCell ref="B137:B139"/>
    <mergeCell ref="C137:C139"/>
    <mergeCell ref="D137:D139"/>
    <mergeCell ref="E137:E139"/>
    <mergeCell ref="F137:F139"/>
    <mergeCell ref="I137:I139"/>
    <mergeCell ref="J137:J139"/>
    <mergeCell ref="K137:K139"/>
    <mergeCell ref="L137:L139"/>
    <mergeCell ref="M137:M139"/>
    <mergeCell ref="N137:N139"/>
    <mergeCell ref="O137:O139"/>
    <mergeCell ref="P137:P139"/>
    <mergeCell ref="Q137:Q139"/>
    <mergeCell ref="R137:R139"/>
    <mergeCell ref="S137:S139"/>
    <mergeCell ref="U137:U139"/>
    <mergeCell ref="L188:L190"/>
    <mergeCell ref="M188:M190"/>
    <mergeCell ref="N188:N190"/>
    <mergeCell ref="O188:O190"/>
    <mergeCell ref="P188:P190"/>
    <mergeCell ref="Q188:Q190"/>
    <mergeCell ref="R188:R190"/>
    <mergeCell ref="S188:S190"/>
    <mergeCell ref="U188:U190"/>
    <mergeCell ref="A188:A190"/>
    <mergeCell ref="B188:B190"/>
    <mergeCell ref="C188:C190"/>
    <mergeCell ref="D188:D190"/>
    <mergeCell ref="AH119:AH121"/>
    <mergeCell ref="I125:I127"/>
    <mergeCell ref="J125:J127"/>
    <mergeCell ref="K125:K127"/>
    <mergeCell ref="L125:L127"/>
    <mergeCell ref="M125:M127"/>
    <mergeCell ref="N125:N127"/>
    <mergeCell ref="AB125:AB127"/>
    <mergeCell ref="AH125:AH127"/>
    <mergeCell ref="I128:I130"/>
    <mergeCell ref="J128:J130"/>
    <mergeCell ref="K128:K130"/>
    <mergeCell ref="X119:X121"/>
    <mergeCell ref="Y119:Y121"/>
    <mergeCell ref="U122:U124"/>
    <mergeCell ref="V188:V190"/>
    <mergeCell ref="X188:X190"/>
    <mergeCell ref="Y188:Y190"/>
    <mergeCell ref="AB188:AB190"/>
    <mergeCell ref="AH188:AH190"/>
    <mergeCell ref="AH137:AH139"/>
    <mergeCell ref="I143:I145"/>
    <mergeCell ref="J143:J145"/>
    <mergeCell ref="K143:K145"/>
    <mergeCell ref="L143:L145"/>
    <mergeCell ref="M143:M145"/>
    <mergeCell ref="N143:N145"/>
    <mergeCell ref="O143:O145"/>
    <mergeCell ref="P143:P145"/>
    <mergeCell ref="Q143:Q145"/>
    <mergeCell ref="R143:R145"/>
    <mergeCell ref="S143:S145"/>
    <mergeCell ref="AI119:AI121"/>
    <mergeCell ref="O119:O121"/>
    <mergeCell ref="P119:P121"/>
    <mergeCell ref="Q119:Q121"/>
    <mergeCell ref="R119:R121"/>
    <mergeCell ref="S119:S121"/>
    <mergeCell ref="U119:U121"/>
    <mergeCell ref="I122:I124"/>
    <mergeCell ref="J122:J124"/>
    <mergeCell ref="K122:K124"/>
    <mergeCell ref="L122:L124"/>
    <mergeCell ref="M122:M124"/>
    <mergeCell ref="N122:N124"/>
    <mergeCell ref="AB122:AB124"/>
    <mergeCell ref="AH122:AH124"/>
    <mergeCell ref="AI122:AI124"/>
    <mergeCell ref="V122:V124"/>
    <mergeCell ref="X122:X124"/>
    <mergeCell ref="Y122:Y124"/>
    <mergeCell ref="O122:O124"/>
    <mergeCell ref="P122:P124"/>
    <mergeCell ref="Q122:Q124"/>
    <mergeCell ref="R122:R124"/>
    <mergeCell ref="S122:S124"/>
    <mergeCell ref="V119:V121"/>
    <mergeCell ref="I119:I121"/>
    <mergeCell ref="J119:J121"/>
    <mergeCell ref="K119:K121"/>
    <mergeCell ref="L119:L121"/>
    <mergeCell ref="M119:M121"/>
    <mergeCell ref="N119:N121"/>
    <mergeCell ref="AB119:AB121"/>
    <mergeCell ref="AI125:AI127"/>
    <mergeCell ref="O125:O127"/>
    <mergeCell ref="P125:P127"/>
    <mergeCell ref="Q125:Q127"/>
    <mergeCell ref="R125:R127"/>
    <mergeCell ref="S125:S127"/>
    <mergeCell ref="U125:U127"/>
    <mergeCell ref="AB128:AB130"/>
    <mergeCell ref="AH128:AH130"/>
    <mergeCell ref="AI128:AI130"/>
    <mergeCell ref="O128:O130"/>
    <mergeCell ref="P128:P130"/>
    <mergeCell ref="Q128:Q130"/>
    <mergeCell ref="R128:R130"/>
    <mergeCell ref="S128:S130"/>
    <mergeCell ref="U128:U130"/>
    <mergeCell ref="V128:V130"/>
    <mergeCell ref="X128:X130"/>
    <mergeCell ref="Y128:Y130"/>
    <mergeCell ref="V125:V127"/>
    <mergeCell ref="X125:X127"/>
    <mergeCell ref="Y125:Y127"/>
    <mergeCell ref="AI131:AI133"/>
    <mergeCell ref="O131:O133"/>
    <mergeCell ref="P131:P133"/>
    <mergeCell ref="Q131:Q133"/>
    <mergeCell ref="R131:R133"/>
    <mergeCell ref="S131:S133"/>
    <mergeCell ref="U131:U133"/>
    <mergeCell ref="V131:V133"/>
    <mergeCell ref="X131:X133"/>
    <mergeCell ref="Y131:Y133"/>
    <mergeCell ref="L128:L130"/>
    <mergeCell ref="M128:M130"/>
    <mergeCell ref="N128:N130"/>
    <mergeCell ref="I131:I133"/>
    <mergeCell ref="J131:J133"/>
    <mergeCell ref="K131:K133"/>
    <mergeCell ref="L131:L133"/>
    <mergeCell ref="M131:M133"/>
    <mergeCell ref="N131:N133"/>
    <mergeCell ref="AB131:AB133"/>
    <mergeCell ref="AH131:AH133"/>
    <mergeCell ref="AI134:AI136"/>
    <mergeCell ref="O134:O136"/>
    <mergeCell ref="P134:P136"/>
    <mergeCell ref="Q134:Q136"/>
    <mergeCell ref="R134:R136"/>
    <mergeCell ref="S134:S136"/>
    <mergeCell ref="U134:U136"/>
    <mergeCell ref="L134:L136"/>
    <mergeCell ref="M134:M136"/>
    <mergeCell ref="N134:N136"/>
    <mergeCell ref="A134:A136"/>
    <mergeCell ref="B134:B136"/>
    <mergeCell ref="C134:C136"/>
    <mergeCell ref="D134:D136"/>
    <mergeCell ref="E134:E136"/>
    <mergeCell ref="F134:F136"/>
    <mergeCell ref="I134:I136"/>
    <mergeCell ref="J134:J136"/>
    <mergeCell ref="K134:K136"/>
    <mergeCell ref="V134:V136"/>
    <mergeCell ref="X134:X136"/>
    <mergeCell ref="Y134:Y136"/>
    <mergeCell ref="AB134:AB136"/>
    <mergeCell ref="AH134:AH136"/>
    <mergeCell ref="A191:H191"/>
    <mergeCell ref="A192:H192"/>
    <mergeCell ref="C128:C130"/>
    <mergeCell ref="D128:D130"/>
    <mergeCell ref="D110:D112"/>
    <mergeCell ref="D113:D115"/>
    <mergeCell ref="C131:C133"/>
    <mergeCell ref="D131:D133"/>
    <mergeCell ref="A128:A133"/>
    <mergeCell ref="B128:B133"/>
    <mergeCell ref="F128:F133"/>
    <mergeCell ref="E128:E133"/>
    <mergeCell ref="A125:A127"/>
    <mergeCell ref="B125:B127"/>
    <mergeCell ref="C125:C127"/>
    <mergeCell ref="D125:D127"/>
    <mergeCell ref="E125:E127"/>
    <mergeCell ref="F125:F127"/>
    <mergeCell ref="A122:A124"/>
    <mergeCell ref="B122:B124"/>
    <mergeCell ref="C122:C124"/>
    <mergeCell ref="D122:D124"/>
    <mergeCell ref="E122:E124"/>
    <mergeCell ref="F122:F124"/>
    <mergeCell ref="A119:A121"/>
    <mergeCell ref="B119:B121"/>
    <mergeCell ref="C119:C121"/>
    <mergeCell ref="D119:D121"/>
    <mergeCell ref="E119:E121"/>
    <mergeCell ref="F119:F121"/>
    <mergeCell ref="E86:E118"/>
    <mergeCell ref="F86:F118"/>
    <mergeCell ref="AB50:AB52"/>
    <mergeCell ref="AH38:AH40"/>
    <mergeCell ref="P50:P52"/>
    <mergeCell ref="V56:V58"/>
    <mergeCell ref="X56:X58"/>
    <mergeCell ref="Y56:Y58"/>
    <mergeCell ref="AB56:AB58"/>
    <mergeCell ref="M50:M52"/>
    <mergeCell ref="N50:N52"/>
    <mergeCell ref="P44:P46"/>
    <mergeCell ref="Q44:Q46"/>
    <mergeCell ref="AI56:AI58"/>
    <mergeCell ref="AB38:AB40"/>
    <mergeCell ref="A146:A148"/>
    <mergeCell ref="A149:A151"/>
    <mergeCell ref="A152:A154"/>
    <mergeCell ref="AH23:AH25"/>
    <mergeCell ref="AI23:AI25"/>
    <mergeCell ref="S23:S25"/>
    <mergeCell ref="U23:U25"/>
    <mergeCell ref="V23:V25"/>
    <mergeCell ref="X23:X25"/>
    <mergeCell ref="AI50:AI52"/>
    <mergeCell ref="AB44:AB46"/>
    <mergeCell ref="AH44:AH46"/>
    <mergeCell ref="R23:R25"/>
    <mergeCell ref="AI47:AI49"/>
    <mergeCell ref="Q23:Q25"/>
    <mergeCell ref="U29:U31"/>
    <mergeCell ref="V29:V31"/>
    <mergeCell ref="X29:X31"/>
    <mergeCell ref="Y29:Y31"/>
    <mergeCell ref="AI44:AI46"/>
    <mergeCell ref="Y44:Y46"/>
    <mergeCell ref="S38:S40"/>
    <mergeCell ref="AI35:AI37"/>
    <mergeCell ref="AI32:AI34"/>
    <mergeCell ref="I32:I34"/>
    <mergeCell ref="J32:J34"/>
    <mergeCell ref="K32:K34"/>
    <mergeCell ref="L32:L34"/>
    <mergeCell ref="M32:M34"/>
    <mergeCell ref="K35:K37"/>
    <mergeCell ref="L35:L37"/>
    <mergeCell ref="M35:M37"/>
    <mergeCell ref="A185:A187"/>
    <mergeCell ref="B185:B187"/>
    <mergeCell ref="C185:C187"/>
    <mergeCell ref="D185:D187"/>
    <mergeCell ref="E185:E187"/>
    <mergeCell ref="F185:F187"/>
    <mergeCell ref="I185:I187"/>
    <mergeCell ref="J185:J187"/>
    <mergeCell ref="K185:K187"/>
    <mergeCell ref="L185:L187"/>
    <mergeCell ref="M185:M187"/>
    <mergeCell ref="N185:N187"/>
    <mergeCell ref="O185:O187"/>
    <mergeCell ref="P185:P187"/>
    <mergeCell ref="Q185:Q187"/>
    <mergeCell ref="R185:R187"/>
    <mergeCell ref="S185:S187"/>
    <mergeCell ref="U185:U187"/>
    <mergeCell ref="V185:V187"/>
    <mergeCell ref="AH146:AH148"/>
    <mergeCell ref="AI146:AI148"/>
    <mergeCell ref="X185:X187"/>
    <mergeCell ref="Y185:Y187"/>
    <mergeCell ref="AB185:AB187"/>
    <mergeCell ref="AH185:AH187"/>
    <mergeCell ref="AI185:AI187"/>
    <mergeCell ref="A155:A157"/>
    <mergeCell ref="B155:B157"/>
    <mergeCell ref="C155:C157"/>
    <mergeCell ref="D155:D157"/>
    <mergeCell ref="E155:E157"/>
    <mergeCell ref="F155:F157"/>
    <mergeCell ref="I155:I157"/>
    <mergeCell ref="J155:J157"/>
    <mergeCell ref="K155:K157"/>
    <mergeCell ref="L155:L157"/>
    <mergeCell ref="M155:M157"/>
    <mergeCell ref="N155:N157"/>
    <mergeCell ref="O155:O157"/>
    <mergeCell ref="P155:P157"/>
    <mergeCell ref="Q155:Q157"/>
    <mergeCell ref="R155:R157"/>
    <mergeCell ref="S155:S157"/>
    <mergeCell ref="U155:U157"/>
    <mergeCell ref="V155:V157"/>
    <mergeCell ref="X155:X157"/>
    <mergeCell ref="Y155:Y157"/>
    <mergeCell ref="AB155:AB157"/>
    <mergeCell ref="AH155:AH157"/>
    <mergeCell ref="AI155:AI157"/>
    <mergeCell ref="D158:D160"/>
    <mergeCell ref="S182:S184"/>
    <mergeCell ref="U182:U184"/>
    <mergeCell ref="V182:V184"/>
    <mergeCell ref="X182:X184"/>
    <mergeCell ref="Y182:Y184"/>
    <mergeCell ref="AB182:AB184"/>
    <mergeCell ref="AH182:AH184"/>
    <mergeCell ref="AI182:AI184"/>
    <mergeCell ref="A176:A178"/>
    <mergeCell ref="B176:B178"/>
    <mergeCell ref="C176:C178"/>
    <mergeCell ref="D176:D178"/>
    <mergeCell ref="L158:L160"/>
    <mergeCell ref="M158:M160"/>
    <mergeCell ref="N158:N160"/>
    <mergeCell ref="O158:O160"/>
    <mergeCell ref="P158:P160"/>
    <mergeCell ref="Q158:Q160"/>
    <mergeCell ref="R158:R160"/>
    <mergeCell ref="S158:S160"/>
    <mergeCell ref="U158:U160"/>
    <mergeCell ref="V158:V160"/>
    <mergeCell ref="X158:X160"/>
    <mergeCell ref="Y158:Y160"/>
    <mergeCell ref="AB158:AB160"/>
    <mergeCell ref="AH158:AH160"/>
    <mergeCell ref="AI158:AI160"/>
    <mergeCell ref="I158:I160"/>
    <mergeCell ref="J158:J160"/>
    <mergeCell ref="P164:P166"/>
    <mergeCell ref="Q164:Q166"/>
    <mergeCell ref="R164:R166"/>
    <mergeCell ref="L176:L178"/>
    <mergeCell ref="M176:M178"/>
    <mergeCell ref="N176:N178"/>
    <mergeCell ref="O176:O178"/>
    <mergeCell ref="P176:P178"/>
    <mergeCell ref="Q176:Q178"/>
    <mergeCell ref="R176:R178"/>
    <mergeCell ref="S176:S178"/>
    <mergeCell ref="U176:U178"/>
    <mergeCell ref="V176:V178"/>
    <mergeCell ref="X176:X178"/>
    <mergeCell ref="Y176:Y178"/>
    <mergeCell ref="AH149:AH151"/>
    <mergeCell ref="AI149:AI151"/>
    <mergeCell ref="AH152:AH154"/>
    <mergeCell ref="AI152:AI154"/>
    <mergeCell ref="A182:A184"/>
    <mergeCell ref="B182:B184"/>
    <mergeCell ref="C182:C184"/>
    <mergeCell ref="D182:D184"/>
    <mergeCell ref="E182:E184"/>
    <mergeCell ref="F182:F184"/>
    <mergeCell ref="I182:I184"/>
    <mergeCell ref="J182:J184"/>
    <mergeCell ref="K182:K184"/>
    <mergeCell ref="L182:L184"/>
    <mergeCell ref="M182:M184"/>
    <mergeCell ref="N182:N184"/>
    <mergeCell ref="O182:O184"/>
    <mergeCell ref="P182:P184"/>
    <mergeCell ref="Q182:Q184"/>
    <mergeCell ref="R182:R184"/>
    <mergeCell ref="AB176:AB178"/>
    <mergeCell ref="AH176:AH178"/>
    <mergeCell ref="AI176:AI178"/>
    <mergeCell ref="A179:A181"/>
    <mergeCell ref="B179:B181"/>
    <mergeCell ref="C179:C181"/>
    <mergeCell ref="D179:D181"/>
    <mergeCell ref="E179:E181"/>
    <mergeCell ref="F179:F181"/>
    <mergeCell ref="I179:I181"/>
    <mergeCell ref="J179:J181"/>
    <mergeCell ref="K179:K181"/>
    <mergeCell ref="L179:L181"/>
    <mergeCell ref="M179:M181"/>
    <mergeCell ref="N179:N181"/>
    <mergeCell ref="O179:O181"/>
    <mergeCell ref="P179:P181"/>
    <mergeCell ref="Q179:Q181"/>
    <mergeCell ref="R179:R181"/>
    <mergeCell ref="S179:S181"/>
    <mergeCell ref="U179:U181"/>
    <mergeCell ref="V179:V181"/>
    <mergeCell ref="X179:X181"/>
    <mergeCell ref="Y179:Y181"/>
    <mergeCell ref="AB179:AB181"/>
    <mergeCell ref="AH179:AH181"/>
    <mergeCell ref="AI179:AI181"/>
    <mergeCell ref="E176:E178"/>
    <mergeCell ref="F176:F178"/>
    <mergeCell ref="I176:I178"/>
    <mergeCell ref="J176:J178"/>
    <mergeCell ref="K176:K178"/>
    <mergeCell ref="A170:A172"/>
    <mergeCell ref="B170:B172"/>
    <mergeCell ref="C170:C172"/>
    <mergeCell ref="D170:D172"/>
    <mergeCell ref="E170:E172"/>
    <mergeCell ref="F170:F172"/>
    <mergeCell ref="I170:I172"/>
    <mergeCell ref="J170:J172"/>
    <mergeCell ref="K170:K172"/>
    <mergeCell ref="L170:L172"/>
    <mergeCell ref="M170:M172"/>
    <mergeCell ref="N170:N172"/>
    <mergeCell ref="O170:O172"/>
    <mergeCell ref="P170:P172"/>
    <mergeCell ref="Q170:Q172"/>
    <mergeCell ref="R170:R172"/>
    <mergeCell ref="S170:S172"/>
    <mergeCell ref="A173:A175"/>
    <mergeCell ref="B173:B175"/>
    <mergeCell ref="X173:X175"/>
    <mergeCell ref="Y173:Y175"/>
    <mergeCell ref="AB173:AB175"/>
    <mergeCell ref="AH173:AH175"/>
    <mergeCell ref="AI173:AI175"/>
    <mergeCell ref="C173:C175"/>
    <mergeCell ref="D173:D175"/>
    <mergeCell ref="E173:E175"/>
    <mergeCell ref="F173:F175"/>
    <mergeCell ref="I173:I175"/>
    <mergeCell ref="J173:J175"/>
    <mergeCell ref="K173:K175"/>
    <mergeCell ref="L173:L175"/>
    <mergeCell ref="M173:M175"/>
    <mergeCell ref="N173:N175"/>
    <mergeCell ref="O173:O175"/>
    <mergeCell ref="P173:P175"/>
    <mergeCell ref="Q173:Q175"/>
    <mergeCell ref="R173:R175"/>
    <mergeCell ref="S173:S175"/>
    <mergeCell ref="U173:U175"/>
    <mergeCell ref="V173:V175"/>
    <mergeCell ref="M8:M10"/>
    <mergeCell ref="N8:N10"/>
    <mergeCell ref="O8:O10"/>
    <mergeCell ref="P8:P10"/>
    <mergeCell ref="Q8:Q10"/>
    <mergeCell ref="R8:R10"/>
    <mergeCell ref="S8:S10"/>
    <mergeCell ref="U8:U10"/>
    <mergeCell ref="V8:V10"/>
    <mergeCell ref="X8:X10"/>
    <mergeCell ref="U170:U172"/>
    <mergeCell ref="V170:V172"/>
    <mergeCell ref="X170:X172"/>
    <mergeCell ref="Y170:Y172"/>
    <mergeCell ref="AB170:AB172"/>
    <mergeCell ref="AH170:AH172"/>
    <mergeCell ref="AI170:AI172"/>
    <mergeCell ref="U146:U148"/>
    <mergeCell ref="V146:V148"/>
    <mergeCell ref="U149:U151"/>
    <mergeCell ref="V149:V151"/>
    <mergeCell ref="U152:U154"/>
    <mergeCell ref="V152:V154"/>
    <mergeCell ref="X146:X148"/>
    <mergeCell ref="Y146:Y148"/>
    <mergeCell ref="X149:X151"/>
    <mergeCell ref="Y149:Y151"/>
    <mergeCell ref="X152:X154"/>
    <mergeCell ref="Y152:Y154"/>
    <mergeCell ref="AB146:AB148"/>
    <mergeCell ref="AB149:AB151"/>
    <mergeCell ref="AB152:AB154"/>
    <mergeCell ref="Y8:Y10"/>
    <mergeCell ref="AB8:AB10"/>
    <mergeCell ref="AH8:AH10"/>
    <mergeCell ref="AI8:AI10"/>
    <mergeCell ref="D11:D13"/>
    <mergeCell ref="F11:F13"/>
    <mergeCell ref="G11:H13"/>
    <mergeCell ref="I11:I13"/>
    <mergeCell ref="J11:J13"/>
    <mergeCell ref="K11:K13"/>
    <mergeCell ref="L11:L13"/>
    <mergeCell ref="M11:M13"/>
    <mergeCell ref="N11:N13"/>
    <mergeCell ref="O11:O13"/>
    <mergeCell ref="P11:P13"/>
    <mergeCell ref="Q11:Q13"/>
    <mergeCell ref="R11:R13"/>
    <mergeCell ref="S11:S13"/>
    <mergeCell ref="U11:U13"/>
    <mergeCell ref="V11:V13"/>
    <mergeCell ref="X11:X13"/>
    <mergeCell ref="Y11:Y13"/>
    <mergeCell ref="AB11:AB13"/>
    <mergeCell ref="AH11:AH13"/>
    <mergeCell ref="AI11:AI13"/>
    <mergeCell ref="D8:D10"/>
    <mergeCell ref="F8:F10"/>
    <mergeCell ref="G8:H10"/>
    <mergeCell ref="I8:I10"/>
    <mergeCell ref="J8:J10"/>
    <mergeCell ref="K8:K10"/>
    <mergeCell ref="L8:L10"/>
  </mergeCells>
  <phoneticPr fontId="37" type="noConversion"/>
  <conditionalFormatting sqref="L50:L52">
    <cfRule type="cellIs" dxfId="7" priority="3" operator="between">
      <formula>1000000</formula>
      <formula>2000000</formula>
    </cfRule>
    <cfRule type="cellIs" dxfId="6" priority="4" operator="greaterThan">
      <formula>2000000</formula>
    </cfRule>
  </conditionalFormatting>
  <conditionalFormatting sqref="O5:O190">
    <cfRule type="cellIs" dxfId="5" priority="1" operator="between">
      <formula>1000000</formula>
      <formula>2000000</formula>
    </cfRule>
    <cfRule type="cellIs" dxfId="4" priority="2" operator="greaterThan">
      <formula>2000000</formula>
    </cfRule>
  </conditionalFormatting>
  <conditionalFormatting sqref="U5:U190">
    <cfRule type="cellIs" dxfId="3" priority="7" operator="greaterThan">
      <formula>0</formula>
    </cfRule>
  </conditionalFormatting>
  <printOptions horizontalCentered="1"/>
  <pageMargins left="0.43307086614173201" right="0.39370078740157499" top="0.39370078740157499" bottom="0.39370078740157499" header="0.196850393700787" footer="0.23622047244094499"/>
  <pageSetup paperSize="8" scale="34" orientation="landscape" r:id="rId1"/>
  <headerFooter alignWithMargins="0"/>
  <ignoredErrors>
    <ignoredError sqref="C149 C15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A842-96C8-4124-A795-AEA3A21C89B8}">
  <sheetPr>
    <pageSetUpPr fitToPage="1"/>
  </sheetPr>
  <dimension ref="A1:AJ33"/>
  <sheetViews>
    <sheetView zoomScaleNormal="100" workbookViewId="0">
      <pane xSplit="5" ySplit="4" topLeftCell="F5" activePane="bottomRight" state="frozen"/>
      <selection pane="topRight" activeCell="F1" sqref="F1"/>
      <selection pane="bottomLeft" activeCell="A5" sqref="A5"/>
      <selection pane="bottomRight" activeCell="J23" sqref="J23:J25"/>
    </sheetView>
  </sheetViews>
  <sheetFormatPr defaultColWidth="9.140625" defaultRowHeight="24.95" customHeight="1" x14ac:dyDescent="0.2"/>
  <cols>
    <col min="1" max="1" width="3.7109375" style="1" customWidth="1"/>
    <col min="2" max="2" width="30.7109375" style="3" customWidth="1"/>
    <col min="3" max="3" width="8.28515625" style="4" customWidth="1"/>
    <col min="4" max="4" width="20.7109375" style="3" customWidth="1"/>
    <col min="5" max="5" width="8.28515625" style="3" customWidth="1"/>
    <col min="6" max="6" width="10.7109375" style="3" customWidth="1"/>
    <col min="7" max="7" width="8.28515625" style="3" customWidth="1"/>
    <col min="8" max="8" width="15.7109375" style="3" customWidth="1"/>
    <col min="9" max="18" width="10.7109375" style="5" customWidth="1"/>
    <col min="19" max="19" width="10.7109375" style="6" customWidth="1"/>
    <col min="20" max="21" width="10.7109375" style="5" customWidth="1"/>
    <col min="22" max="22" width="10.7109375" style="7" customWidth="1"/>
    <col min="23" max="30" width="10.7109375" style="5" customWidth="1"/>
    <col min="31" max="32" width="10.7109375" style="8" customWidth="1"/>
    <col min="33" max="33" width="10.7109375" style="181" customWidth="1"/>
    <col min="34" max="34" width="10.7109375" style="9" customWidth="1"/>
    <col min="35" max="35" width="15.7109375" style="3" customWidth="1"/>
    <col min="36" max="36" width="20.7109375" style="1" customWidth="1"/>
    <col min="37" max="37" width="9.140625" style="1"/>
    <col min="38" max="38" width="12.85546875" style="1" customWidth="1"/>
    <col min="39" max="16384" width="9.140625" style="1"/>
  </cols>
  <sheetData>
    <row r="1" spans="1:36" ht="30" customHeight="1" thickBot="1" x14ac:dyDescent="0.25">
      <c r="A1" s="823" t="s">
        <v>1075</v>
      </c>
      <c r="B1" s="823"/>
      <c r="C1" s="823"/>
      <c r="D1" s="823"/>
      <c r="E1" s="823"/>
      <c r="F1" s="823"/>
      <c r="G1" s="823"/>
      <c r="H1" s="823"/>
      <c r="I1" s="823"/>
      <c r="J1" s="823"/>
      <c r="K1" s="823"/>
      <c r="L1" s="823"/>
      <c r="M1" s="823"/>
      <c r="N1" s="823"/>
      <c r="O1" s="823"/>
      <c r="P1" s="823"/>
      <c r="Q1" s="823"/>
      <c r="R1" s="823"/>
      <c r="S1" s="823"/>
      <c r="T1" s="823"/>
      <c r="U1" s="823"/>
      <c r="V1" s="823"/>
      <c r="W1" s="823"/>
      <c r="X1" s="823"/>
      <c r="Y1" s="823"/>
      <c r="Z1" s="823"/>
      <c r="AA1" s="823"/>
      <c r="AB1" s="823"/>
      <c r="AC1" s="823"/>
      <c r="AD1" s="823"/>
      <c r="AE1" s="823"/>
      <c r="AF1" s="823"/>
      <c r="AG1" s="823"/>
      <c r="AH1" s="823"/>
      <c r="AI1" s="823"/>
    </row>
    <row r="2" spans="1:36" ht="24.95" customHeight="1" x14ac:dyDescent="0.2">
      <c r="A2" s="963" t="s">
        <v>1</v>
      </c>
      <c r="B2" s="827" t="s">
        <v>2</v>
      </c>
      <c r="C2" s="828"/>
      <c r="D2" s="310"/>
      <c r="E2" s="271"/>
      <c r="F2" s="336"/>
      <c r="G2" s="829" t="s">
        <v>210</v>
      </c>
      <c r="H2" s="830"/>
      <c r="I2" s="831" t="s">
        <v>835</v>
      </c>
      <c r="J2" s="832"/>
      <c r="K2" s="833"/>
      <c r="L2" s="831" t="s">
        <v>4</v>
      </c>
      <c r="M2" s="832"/>
      <c r="N2" s="833"/>
      <c r="O2" s="834" t="s">
        <v>841</v>
      </c>
      <c r="P2" s="835"/>
      <c r="Q2" s="835"/>
      <c r="R2" s="835"/>
      <c r="S2" s="835"/>
      <c r="T2" s="835"/>
      <c r="U2" s="836"/>
      <c r="V2" s="837" t="s">
        <v>842</v>
      </c>
      <c r="W2" s="838"/>
      <c r="X2" s="838"/>
      <c r="Y2" s="838"/>
      <c r="Z2" s="838"/>
      <c r="AA2" s="838"/>
      <c r="AB2" s="838"/>
      <c r="AC2" s="838"/>
      <c r="AD2" s="838"/>
      <c r="AE2" s="838"/>
      <c r="AF2" s="838"/>
      <c r="AG2" s="838"/>
      <c r="AH2" s="839"/>
      <c r="AI2" s="840" t="s">
        <v>8</v>
      </c>
      <c r="AJ2" s="528"/>
    </row>
    <row r="3" spans="1:36" ht="24.95" customHeight="1" x14ac:dyDescent="0.2">
      <c r="A3" s="964"/>
      <c r="B3" s="815" t="s">
        <v>9</v>
      </c>
      <c r="C3" s="966" t="s">
        <v>213</v>
      </c>
      <c r="D3" s="817" t="s">
        <v>10</v>
      </c>
      <c r="E3" s="818" t="s">
        <v>214</v>
      </c>
      <c r="F3" s="818" t="s">
        <v>11</v>
      </c>
      <c r="G3" s="819" t="s">
        <v>815</v>
      </c>
      <c r="H3" s="819" t="s">
        <v>816</v>
      </c>
      <c r="I3" s="854" t="s">
        <v>17</v>
      </c>
      <c r="J3" s="854" t="s">
        <v>18</v>
      </c>
      <c r="K3" s="854" t="s">
        <v>215</v>
      </c>
      <c r="L3" s="854" t="s">
        <v>17</v>
      </c>
      <c r="M3" s="854" t="s">
        <v>18</v>
      </c>
      <c r="N3" s="854" t="s">
        <v>215</v>
      </c>
      <c r="O3" s="843" t="s">
        <v>216</v>
      </c>
      <c r="P3" s="844"/>
      <c r="Q3" s="844"/>
      <c r="R3" s="845"/>
      <c r="S3" s="846" t="s">
        <v>5</v>
      </c>
      <c r="T3" s="847"/>
      <c r="U3" s="848"/>
      <c r="V3" s="849" t="s">
        <v>217</v>
      </c>
      <c r="W3" s="850"/>
      <c r="X3" s="851"/>
      <c r="Y3" s="849" t="s">
        <v>6</v>
      </c>
      <c r="Z3" s="850"/>
      <c r="AA3" s="850"/>
      <c r="AB3" s="850"/>
      <c r="AC3" s="850"/>
      <c r="AD3" s="850"/>
      <c r="AE3" s="850"/>
      <c r="AF3" s="850"/>
      <c r="AG3" s="851"/>
      <c r="AH3" s="852" t="s">
        <v>7</v>
      </c>
      <c r="AI3" s="841"/>
      <c r="AJ3" s="528"/>
    </row>
    <row r="4" spans="1:36" ht="24.95" customHeight="1" x14ac:dyDescent="0.2">
      <c r="A4" s="965"/>
      <c r="B4" s="816"/>
      <c r="C4" s="967"/>
      <c r="D4" s="815"/>
      <c r="E4" s="819"/>
      <c r="F4" s="819"/>
      <c r="G4" s="820"/>
      <c r="H4" s="820"/>
      <c r="I4" s="855"/>
      <c r="J4" s="855"/>
      <c r="K4" s="855"/>
      <c r="L4" s="855"/>
      <c r="M4" s="855"/>
      <c r="N4" s="855"/>
      <c r="O4" s="272" t="s">
        <v>17</v>
      </c>
      <c r="P4" s="272" t="s">
        <v>18</v>
      </c>
      <c r="Q4" s="272" t="s">
        <v>215</v>
      </c>
      <c r="R4" s="272" t="s">
        <v>218</v>
      </c>
      <c r="S4" s="273" t="s">
        <v>219</v>
      </c>
      <c r="T4" s="272" t="s">
        <v>19</v>
      </c>
      <c r="U4" s="272" t="s">
        <v>20</v>
      </c>
      <c r="V4" s="274" t="s">
        <v>220</v>
      </c>
      <c r="W4" s="275" t="s">
        <v>221</v>
      </c>
      <c r="X4" s="275" t="s">
        <v>20</v>
      </c>
      <c r="Y4" s="275" t="s">
        <v>810</v>
      </c>
      <c r="Z4" s="275" t="s">
        <v>811</v>
      </c>
      <c r="AA4" s="275" t="s">
        <v>812</v>
      </c>
      <c r="AB4" s="275" t="s">
        <v>813</v>
      </c>
      <c r="AC4" s="275" t="s">
        <v>843</v>
      </c>
      <c r="AD4" s="275" t="s">
        <v>814</v>
      </c>
      <c r="AE4" s="276" t="s">
        <v>21</v>
      </c>
      <c r="AF4" s="276" t="s">
        <v>22</v>
      </c>
      <c r="AG4" s="275" t="s">
        <v>23</v>
      </c>
      <c r="AH4" s="853"/>
      <c r="AI4" s="842"/>
      <c r="AJ4" s="528"/>
    </row>
    <row r="5" spans="1:36" ht="24.95" customHeight="1" x14ac:dyDescent="0.2">
      <c r="A5" s="935">
        <v>1</v>
      </c>
      <c r="B5" s="821" t="s">
        <v>1032</v>
      </c>
      <c r="C5" s="936"/>
      <c r="D5" s="821" t="s">
        <v>1033</v>
      </c>
      <c r="E5" s="884"/>
      <c r="F5" s="822" t="s">
        <v>1051</v>
      </c>
      <c r="G5" s="270"/>
      <c r="H5" s="270"/>
      <c r="I5" s="938">
        <v>876300</v>
      </c>
      <c r="J5" s="939"/>
      <c r="K5" s="938"/>
      <c r="L5" s="939"/>
      <c r="M5" s="939"/>
      <c r="N5" s="939"/>
      <c r="O5" s="931">
        <f t="shared" ref="O5:Q5" si="0">L5</f>
        <v>0</v>
      </c>
      <c r="P5" s="939">
        <f t="shared" si="0"/>
        <v>0</v>
      </c>
      <c r="Q5" s="939">
        <f t="shared" si="0"/>
        <v>0</v>
      </c>
      <c r="R5" s="931">
        <f>SUM(O5:Q7)</f>
        <v>0</v>
      </c>
      <c r="S5" s="940">
        <f>R5</f>
        <v>0</v>
      </c>
      <c r="T5" s="287">
        <v>0</v>
      </c>
      <c r="U5" s="931">
        <f>S5-T5-T6-T7</f>
        <v>0</v>
      </c>
      <c r="V5" s="932">
        <f>S5*0.8</f>
        <v>0</v>
      </c>
      <c r="W5" s="287"/>
      <c r="X5" s="931">
        <f>V5-W5-W6-W7</f>
        <v>0</v>
      </c>
      <c r="Y5" s="931">
        <f t="shared" ref="Y5" si="1">S5*0.17/1.065</f>
        <v>0</v>
      </c>
      <c r="Z5" s="287"/>
      <c r="AA5" s="287"/>
      <c r="AB5" s="931">
        <f t="shared" ref="AB5" si="2">V5*0.2/1.065</f>
        <v>0</v>
      </c>
      <c r="AC5" s="287"/>
      <c r="AD5" s="287"/>
      <c r="AE5" s="278"/>
      <c r="AF5" s="278"/>
      <c r="AG5" s="290"/>
      <c r="AH5" s="933">
        <f>V5-Y5-AB5-AG5-AG6-AG7</f>
        <v>0</v>
      </c>
      <c r="AI5" s="934"/>
      <c r="AJ5" s="43"/>
    </row>
    <row r="6" spans="1:36" ht="24.95" customHeight="1" x14ac:dyDescent="0.2">
      <c r="A6" s="935"/>
      <c r="B6" s="821"/>
      <c r="C6" s="936"/>
      <c r="D6" s="821"/>
      <c r="E6" s="884"/>
      <c r="F6" s="822"/>
      <c r="G6" s="270"/>
      <c r="H6" s="270"/>
      <c r="I6" s="938"/>
      <c r="J6" s="939"/>
      <c r="K6" s="938"/>
      <c r="L6" s="939"/>
      <c r="M6" s="939"/>
      <c r="N6" s="939"/>
      <c r="O6" s="931"/>
      <c r="P6" s="939"/>
      <c r="Q6" s="939"/>
      <c r="R6" s="931"/>
      <c r="S6" s="940"/>
      <c r="T6" s="287">
        <v>0</v>
      </c>
      <c r="U6" s="931"/>
      <c r="V6" s="932"/>
      <c r="W6" s="287"/>
      <c r="X6" s="931"/>
      <c r="Y6" s="931"/>
      <c r="Z6" s="287"/>
      <c r="AA6" s="287"/>
      <c r="AB6" s="931"/>
      <c r="AC6" s="287"/>
      <c r="AD6" s="287"/>
      <c r="AE6" s="278"/>
      <c r="AF6" s="278"/>
      <c r="AG6" s="290"/>
      <c r="AH6" s="933"/>
      <c r="AI6" s="934"/>
      <c r="AJ6" s="43"/>
    </row>
    <row r="7" spans="1:36" ht="24.95" customHeight="1" x14ac:dyDescent="0.2">
      <c r="A7" s="935"/>
      <c r="B7" s="821"/>
      <c r="C7" s="936"/>
      <c r="D7" s="821"/>
      <c r="E7" s="884"/>
      <c r="F7" s="822"/>
      <c r="G7" s="270"/>
      <c r="H7" s="270"/>
      <c r="I7" s="938"/>
      <c r="J7" s="939"/>
      <c r="K7" s="938"/>
      <c r="L7" s="939"/>
      <c r="M7" s="939"/>
      <c r="N7" s="939"/>
      <c r="O7" s="931"/>
      <c r="P7" s="939"/>
      <c r="Q7" s="939"/>
      <c r="R7" s="931"/>
      <c r="S7" s="940"/>
      <c r="T7" s="287">
        <v>0</v>
      </c>
      <c r="U7" s="931"/>
      <c r="V7" s="932"/>
      <c r="W7" s="287"/>
      <c r="X7" s="931"/>
      <c r="Y7" s="931"/>
      <c r="Z7" s="287"/>
      <c r="AA7" s="287"/>
      <c r="AB7" s="931"/>
      <c r="AC7" s="287"/>
      <c r="AD7" s="287"/>
      <c r="AE7" s="278"/>
      <c r="AF7" s="278"/>
      <c r="AG7" s="290"/>
      <c r="AH7" s="933"/>
      <c r="AI7" s="934"/>
      <c r="AJ7" s="43"/>
    </row>
    <row r="8" spans="1:36" ht="24.95" customHeight="1" x14ac:dyDescent="0.2">
      <c r="A8" s="935">
        <v>2</v>
      </c>
      <c r="B8" s="821" t="s">
        <v>1052</v>
      </c>
      <c r="C8" s="936"/>
      <c r="D8" s="821" t="s">
        <v>1053</v>
      </c>
      <c r="E8" s="884"/>
      <c r="F8" s="822" t="s">
        <v>1054</v>
      </c>
      <c r="G8" s="270"/>
      <c r="H8" s="270"/>
      <c r="I8" s="938"/>
      <c r="J8" s="939"/>
      <c r="K8" s="938"/>
      <c r="L8" s="939"/>
      <c r="M8" s="939"/>
      <c r="N8" s="939"/>
      <c r="O8" s="931">
        <f t="shared" ref="O8:Q8" si="3">L8</f>
        <v>0</v>
      </c>
      <c r="P8" s="939">
        <f t="shared" si="3"/>
        <v>0</v>
      </c>
      <c r="Q8" s="939">
        <f t="shared" si="3"/>
        <v>0</v>
      </c>
      <c r="R8" s="931">
        <f>SUM(O8:Q10)</f>
        <v>0</v>
      </c>
      <c r="S8" s="940">
        <f>R8</f>
        <v>0</v>
      </c>
      <c r="T8" s="287">
        <v>0</v>
      </c>
      <c r="U8" s="931">
        <f>S8-T8-T9-T10</f>
        <v>0</v>
      </c>
      <c r="V8" s="932">
        <f>S8*0.8</f>
        <v>0</v>
      </c>
      <c r="W8" s="287"/>
      <c r="X8" s="931">
        <f>V8-W8-W9-W10</f>
        <v>0</v>
      </c>
      <c r="Y8" s="931">
        <f t="shared" ref="Y8" si="4">S8*0.17/1.065</f>
        <v>0</v>
      </c>
      <c r="Z8" s="287"/>
      <c r="AA8" s="287"/>
      <c r="AB8" s="931">
        <f t="shared" ref="AB8" si="5">V8*0.2/1.065</f>
        <v>0</v>
      </c>
      <c r="AC8" s="287"/>
      <c r="AD8" s="287"/>
      <c r="AE8" s="278"/>
      <c r="AF8" s="278"/>
      <c r="AG8" s="290"/>
      <c r="AH8" s="933">
        <f>V8-Y8-AB8-AG8-AG9-AG10</f>
        <v>0</v>
      </c>
      <c r="AI8" s="934"/>
      <c r="AJ8" s="43"/>
    </row>
    <row r="9" spans="1:36" ht="24.95" customHeight="1" x14ac:dyDescent="0.2">
      <c r="A9" s="935"/>
      <c r="B9" s="821"/>
      <c r="C9" s="936"/>
      <c r="D9" s="821"/>
      <c r="E9" s="884"/>
      <c r="F9" s="822"/>
      <c r="G9" s="270"/>
      <c r="H9" s="270"/>
      <c r="I9" s="938"/>
      <c r="J9" s="939"/>
      <c r="K9" s="938"/>
      <c r="L9" s="939"/>
      <c r="M9" s="939"/>
      <c r="N9" s="939"/>
      <c r="O9" s="931"/>
      <c r="P9" s="939"/>
      <c r="Q9" s="939"/>
      <c r="R9" s="931"/>
      <c r="S9" s="940"/>
      <c r="T9" s="287">
        <v>0</v>
      </c>
      <c r="U9" s="931"/>
      <c r="V9" s="932"/>
      <c r="W9" s="287"/>
      <c r="X9" s="931"/>
      <c r="Y9" s="931"/>
      <c r="Z9" s="287"/>
      <c r="AA9" s="287"/>
      <c r="AB9" s="931"/>
      <c r="AC9" s="287"/>
      <c r="AD9" s="287"/>
      <c r="AE9" s="278"/>
      <c r="AF9" s="278"/>
      <c r="AG9" s="290"/>
      <c r="AH9" s="933"/>
      <c r="AI9" s="934"/>
      <c r="AJ9" s="43"/>
    </row>
    <row r="10" spans="1:36" ht="24.95" customHeight="1" x14ac:dyDescent="0.2">
      <c r="A10" s="935"/>
      <c r="B10" s="821"/>
      <c r="C10" s="936"/>
      <c r="D10" s="821"/>
      <c r="E10" s="884"/>
      <c r="F10" s="822"/>
      <c r="G10" s="270"/>
      <c r="H10" s="270"/>
      <c r="I10" s="938"/>
      <c r="J10" s="939"/>
      <c r="K10" s="938"/>
      <c r="L10" s="939"/>
      <c r="M10" s="939"/>
      <c r="N10" s="939"/>
      <c r="O10" s="931"/>
      <c r="P10" s="939"/>
      <c r="Q10" s="939"/>
      <c r="R10" s="931"/>
      <c r="S10" s="940"/>
      <c r="T10" s="287">
        <v>0</v>
      </c>
      <c r="U10" s="931"/>
      <c r="V10" s="932"/>
      <c r="W10" s="287"/>
      <c r="X10" s="931"/>
      <c r="Y10" s="931"/>
      <c r="Z10" s="287"/>
      <c r="AA10" s="287"/>
      <c r="AB10" s="931"/>
      <c r="AC10" s="287"/>
      <c r="AD10" s="287"/>
      <c r="AE10" s="278"/>
      <c r="AF10" s="278"/>
      <c r="AG10" s="290"/>
      <c r="AH10" s="933"/>
      <c r="AI10" s="934"/>
      <c r="AJ10" s="43"/>
    </row>
    <row r="11" spans="1:36" ht="24.95" customHeight="1" x14ac:dyDescent="0.2">
      <c r="A11" s="935">
        <v>3</v>
      </c>
      <c r="B11" s="821" t="s">
        <v>1055</v>
      </c>
      <c r="C11" s="936" t="s">
        <v>1056</v>
      </c>
      <c r="D11" s="821" t="s">
        <v>1057</v>
      </c>
      <c r="E11" s="884"/>
      <c r="F11" s="822" t="s">
        <v>1058</v>
      </c>
      <c r="G11" s="270"/>
      <c r="H11" s="270"/>
      <c r="I11" s="938"/>
      <c r="J11" s="939"/>
      <c r="K11" s="938"/>
      <c r="L11" s="939"/>
      <c r="M11" s="939"/>
      <c r="N11" s="939"/>
      <c r="O11" s="931">
        <f t="shared" ref="O11" si="6">L11</f>
        <v>0</v>
      </c>
      <c r="P11" s="939">
        <f t="shared" ref="P11" si="7">M11</f>
        <v>0</v>
      </c>
      <c r="Q11" s="939">
        <f t="shared" ref="Q11" si="8">N11</f>
        <v>0</v>
      </c>
      <c r="R11" s="931">
        <f>SUM(O11:Q13)</f>
        <v>0</v>
      </c>
      <c r="S11" s="940">
        <f>R11</f>
        <v>0</v>
      </c>
      <c r="T11" s="287">
        <v>0</v>
      </c>
      <c r="U11" s="931">
        <f>S11-T11-T12-T13</f>
        <v>0</v>
      </c>
      <c r="V11" s="932">
        <f>S11*0.8</f>
        <v>0</v>
      </c>
      <c r="W11" s="287"/>
      <c r="X11" s="931">
        <f>V11-W11-W12-W13</f>
        <v>0</v>
      </c>
      <c r="Y11" s="931">
        <f t="shared" ref="Y11" si="9">S11*0.17/1.065</f>
        <v>0</v>
      </c>
      <c r="Z11" s="287"/>
      <c r="AA11" s="287"/>
      <c r="AB11" s="931">
        <f t="shared" ref="AB11" si="10">V11*0.2/1.065</f>
        <v>0</v>
      </c>
      <c r="AC11" s="287"/>
      <c r="AD11" s="287"/>
      <c r="AE11" s="278"/>
      <c r="AF11" s="278"/>
      <c r="AG11" s="290"/>
      <c r="AH11" s="933">
        <f>V11-Y11-AB11-AG11-AG12-AG13</f>
        <v>0</v>
      </c>
      <c r="AI11" s="934"/>
      <c r="AJ11" s="43"/>
    </row>
    <row r="12" spans="1:36" ht="24.95" customHeight="1" x14ac:dyDescent="0.2">
      <c r="A12" s="935"/>
      <c r="B12" s="821"/>
      <c r="C12" s="936"/>
      <c r="D12" s="821"/>
      <c r="E12" s="884"/>
      <c r="F12" s="822"/>
      <c r="G12" s="270"/>
      <c r="H12" s="270"/>
      <c r="I12" s="938"/>
      <c r="J12" s="939"/>
      <c r="K12" s="938"/>
      <c r="L12" s="939"/>
      <c r="M12" s="939"/>
      <c r="N12" s="939"/>
      <c r="O12" s="931"/>
      <c r="P12" s="939"/>
      <c r="Q12" s="939"/>
      <c r="R12" s="931"/>
      <c r="S12" s="940"/>
      <c r="T12" s="287">
        <v>0</v>
      </c>
      <c r="U12" s="931"/>
      <c r="V12" s="932"/>
      <c r="W12" s="287"/>
      <c r="X12" s="931"/>
      <c r="Y12" s="931"/>
      <c r="Z12" s="287"/>
      <c r="AA12" s="287"/>
      <c r="AB12" s="931"/>
      <c r="AC12" s="287"/>
      <c r="AD12" s="287"/>
      <c r="AE12" s="278"/>
      <c r="AF12" s="278"/>
      <c r="AG12" s="290"/>
      <c r="AH12" s="933"/>
      <c r="AI12" s="934"/>
      <c r="AJ12" s="43"/>
    </row>
    <row r="13" spans="1:36" ht="24.95" customHeight="1" x14ac:dyDescent="0.2">
      <c r="A13" s="935"/>
      <c r="B13" s="821"/>
      <c r="C13" s="936"/>
      <c r="D13" s="821"/>
      <c r="E13" s="884"/>
      <c r="F13" s="822"/>
      <c r="G13" s="270"/>
      <c r="H13" s="270"/>
      <c r="I13" s="938"/>
      <c r="J13" s="939"/>
      <c r="K13" s="938"/>
      <c r="L13" s="939"/>
      <c r="M13" s="939"/>
      <c r="N13" s="939"/>
      <c r="O13" s="931"/>
      <c r="P13" s="939"/>
      <c r="Q13" s="939"/>
      <c r="R13" s="931"/>
      <c r="S13" s="940"/>
      <c r="T13" s="287">
        <v>0</v>
      </c>
      <c r="U13" s="931"/>
      <c r="V13" s="932"/>
      <c r="W13" s="287"/>
      <c r="X13" s="931"/>
      <c r="Y13" s="931"/>
      <c r="Z13" s="287"/>
      <c r="AA13" s="287"/>
      <c r="AB13" s="931"/>
      <c r="AC13" s="287"/>
      <c r="AD13" s="287"/>
      <c r="AE13" s="278"/>
      <c r="AF13" s="278"/>
      <c r="AG13" s="290"/>
      <c r="AH13" s="933"/>
      <c r="AI13" s="934"/>
      <c r="AJ13" s="43"/>
    </row>
    <row r="14" spans="1:36" ht="24.95" customHeight="1" x14ac:dyDescent="0.2">
      <c r="A14" s="935">
        <v>4</v>
      </c>
      <c r="B14" s="821" t="s">
        <v>1059</v>
      </c>
      <c r="C14" s="936" t="s">
        <v>1060</v>
      </c>
      <c r="D14" s="821" t="s">
        <v>1061</v>
      </c>
      <c r="E14" s="884"/>
      <c r="F14" s="822" t="s">
        <v>1062</v>
      </c>
      <c r="G14" s="270"/>
      <c r="H14" s="270"/>
      <c r="I14" s="938"/>
      <c r="J14" s="939"/>
      <c r="K14" s="938"/>
      <c r="L14" s="939"/>
      <c r="M14" s="939"/>
      <c r="N14" s="939"/>
      <c r="O14" s="931">
        <f t="shared" ref="O14" si="11">L14</f>
        <v>0</v>
      </c>
      <c r="P14" s="939">
        <f t="shared" ref="P14" si="12">M14</f>
        <v>0</v>
      </c>
      <c r="Q14" s="939">
        <f t="shared" ref="Q14" si="13">N14</f>
        <v>0</v>
      </c>
      <c r="R14" s="931">
        <f>SUM(O14:Q16)</f>
        <v>0</v>
      </c>
      <c r="S14" s="940">
        <f>R14</f>
        <v>0</v>
      </c>
      <c r="T14" s="287">
        <v>0</v>
      </c>
      <c r="U14" s="931">
        <f>S14-T14-T15-T16</f>
        <v>0</v>
      </c>
      <c r="V14" s="932">
        <f>S14*0.8</f>
        <v>0</v>
      </c>
      <c r="W14" s="287"/>
      <c r="X14" s="931">
        <f>V14-W14-W15-W16</f>
        <v>0</v>
      </c>
      <c r="Y14" s="931">
        <f t="shared" ref="Y14" si="14">S14*0.17/1.065</f>
        <v>0</v>
      </c>
      <c r="Z14" s="287"/>
      <c r="AA14" s="287"/>
      <c r="AB14" s="931">
        <f t="shared" ref="AB14" si="15">V14*0.2/1.065</f>
        <v>0</v>
      </c>
      <c r="AC14" s="287"/>
      <c r="AD14" s="287"/>
      <c r="AE14" s="278"/>
      <c r="AF14" s="278"/>
      <c r="AG14" s="290"/>
      <c r="AH14" s="933">
        <f>V14-Y14-AB14-AG14-AG15-AG16</f>
        <v>0</v>
      </c>
      <c r="AI14" s="934"/>
      <c r="AJ14" s="43"/>
    </row>
    <row r="15" spans="1:36" ht="24.95" customHeight="1" x14ac:dyDescent="0.2">
      <c r="A15" s="935"/>
      <c r="B15" s="821"/>
      <c r="C15" s="936"/>
      <c r="D15" s="821"/>
      <c r="E15" s="884"/>
      <c r="F15" s="822"/>
      <c r="G15" s="270"/>
      <c r="H15" s="270"/>
      <c r="I15" s="938"/>
      <c r="J15" s="939"/>
      <c r="K15" s="938"/>
      <c r="L15" s="939"/>
      <c r="M15" s="939"/>
      <c r="N15" s="939"/>
      <c r="O15" s="931"/>
      <c r="P15" s="939"/>
      <c r="Q15" s="939"/>
      <c r="R15" s="931"/>
      <c r="S15" s="940"/>
      <c r="T15" s="287">
        <v>0</v>
      </c>
      <c r="U15" s="931"/>
      <c r="V15" s="932"/>
      <c r="W15" s="287"/>
      <c r="X15" s="931"/>
      <c r="Y15" s="931"/>
      <c r="Z15" s="287"/>
      <c r="AA15" s="287"/>
      <c r="AB15" s="931"/>
      <c r="AC15" s="287"/>
      <c r="AD15" s="287"/>
      <c r="AE15" s="278"/>
      <c r="AF15" s="278"/>
      <c r="AG15" s="290"/>
      <c r="AH15" s="933"/>
      <c r="AI15" s="934"/>
      <c r="AJ15" s="43"/>
    </row>
    <row r="16" spans="1:36" ht="24.95" customHeight="1" x14ac:dyDescent="0.2">
      <c r="A16" s="935"/>
      <c r="B16" s="821"/>
      <c r="C16" s="936"/>
      <c r="D16" s="821"/>
      <c r="E16" s="884"/>
      <c r="F16" s="822"/>
      <c r="G16" s="270"/>
      <c r="H16" s="270"/>
      <c r="I16" s="938"/>
      <c r="J16" s="939"/>
      <c r="K16" s="938"/>
      <c r="L16" s="939"/>
      <c r="M16" s="939"/>
      <c r="N16" s="939"/>
      <c r="O16" s="931"/>
      <c r="P16" s="939"/>
      <c r="Q16" s="939"/>
      <c r="R16" s="931"/>
      <c r="S16" s="940"/>
      <c r="T16" s="287">
        <v>0</v>
      </c>
      <c r="U16" s="931"/>
      <c r="V16" s="932"/>
      <c r="W16" s="287"/>
      <c r="X16" s="931"/>
      <c r="Y16" s="931"/>
      <c r="Z16" s="287"/>
      <c r="AA16" s="287"/>
      <c r="AB16" s="931"/>
      <c r="AC16" s="287"/>
      <c r="AD16" s="287"/>
      <c r="AE16" s="278"/>
      <c r="AF16" s="278"/>
      <c r="AG16" s="290"/>
      <c r="AH16" s="933"/>
      <c r="AI16" s="934"/>
      <c r="AJ16" s="43"/>
    </row>
    <row r="17" spans="1:36" ht="24.95" customHeight="1" x14ac:dyDescent="0.2">
      <c r="A17" s="935">
        <v>5</v>
      </c>
      <c r="B17" s="821" t="s">
        <v>1063</v>
      </c>
      <c r="C17" s="936" t="s">
        <v>1064</v>
      </c>
      <c r="D17" s="821"/>
      <c r="E17" s="884"/>
      <c r="F17" s="822" t="s">
        <v>1065</v>
      </c>
      <c r="G17" s="270"/>
      <c r="H17" s="270"/>
      <c r="I17" s="938"/>
      <c r="J17" s="939"/>
      <c r="K17" s="938"/>
      <c r="L17" s="939"/>
      <c r="M17" s="939"/>
      <c r="N17" s="939"/>
      <c r="O17" s="931">
        <f t="shared" ref="O17" si="16">L17</f>
        <v>0</v>
      </c>
      <c r="P17" s="939">
        <f t="shared" ref="P17" si="17">M17</f>
        <v>0</v>
      </c>
      <c r="Q17" s="939">
        <f t="shared" ref="Q17" si="18">N17</f>
        <v>0</v>
      </c>
      <c r="R17" s="931">
        <f>SUM(O17:Q19)</f>
        <v>0</v>
      </c>
      <c r="S17" s="940">
        <f>R17</f>
        <v>0</v>
      </c>
      <c r="T17" s="287">
        <v>0</v>
      </c>
      <c r="U17" s="931">
        <f>S17-T17-T18-T19</f>
        <v>0</v>
      </c>
      <c r="V17" s="932">
        <f>S17*0.8</f>
        <v>0</v>
      </c>
      <c r="W17" s="287"/>
      <c r="X17" s="931">
        <f>V17-W17-W18-W19</f>
        <v>0</v>
      </c>
      <c r="Y17" s="931">
        <f t="shared" ref="Y17" si="19">S17*0.17/1.065</f>
        <v>0</v>
      </c>
      <c r="Z17" s="287"/>
      <c r="AA17" s="287"/>
      <c r="AB17" s="931">
        <f t="shared" ref="AB17" si="20">V17*0.2/1.065</f>
        <v>0</v>
      </c>
      <c r="AC17" s="287"/>
      <c r="AD17" s="287"/>
      <c r="AE17" s="278"/>
      <c r="AF17" s="278"/>
      <c r="AG17" s="290"/>
      <c r="AH17" s="933">
        <f>V17-Y17-AB17-AG17-AG18-AG19</f>
        <v>0</v>
      </c>
      <c r="AI17" s="934"/>
      <c r="AJ17" s="43"/>
    </row>
    <row r="18" spans="1:36" ht="24.95" customHeight="1" x14ac:dyDescent="0.2">
      <c r="A18" s="935"/>
      <c r="B18" s="821"/>
      <c r="C18" s="936"/>
      <c r="D18" s="821"/>
      <c r="E18" s="884"/>
      <c r="F18" s="822"/>
      <c r="G18" s="270"/>
      <c r="H18" s="270"/>
      <c r="I18" s="938"/>
      <c r="J18" s="939"/>
      <c r="K18" s="938"/>
      <c r="L18" s="939"/>
      <c r="M18" s="939"/>
      <c r="N18" s="939"/>
      <c r="O18" s="931"/>
      <c r="P18" s="939"/>
      <c r="Q18" s="939"/>
      <c r="R18" s="931"/>
      <c r="S18" s="940"/>
      <c r="T18" s="287">
        <v>0</v>
      </c>
      <c r="U18" s="931"/>
      <c r="V18" s="932"/>
      <c r="W18" s="287"/>
      <c r="X18" s="931"/>
      <c r="Y18" s="931"/>
      <c r="Z18" s="287"/>
      <c r="AA18" s="287"/>
      <c r="AB18" s="931"/>
      <c r="AC18" s="287"/>
      <c r="AD18" s="287"/>
      <c r="AE18" s="278"/>
      <c r="AF18" s="278"/>
      <c r="AG18" s="290"/>
      <c r="AH18" s="933"/>
      <c r="AI18" s="934"/>
      <c r="AJ18" s="43"/>
    </row>
    <row r="19" spans="1:36" ht="24.95" customHeight="1" x14ac:dyDescent="0.2">
      <c r="A19" s="935"/>
      <c r="B19" s="821"/>
      <c r="C19" s="936"/>
      <c r="D19" s="821"/>
      <c r="E19" s="884"/>
      <c r="F19" s="822"/>
      <c r="G19" s="270"/>
      <c r="H19" s="270"/>
      <c r="I19" s="938"/>
      <c r="J19" s="939"/>
      <c r="K19" s="938"/>
      <c r="L19" s="939"/>
      <c r="M19" s="939"/>
      <c r="N19" s="939"/>
      <c r="O19" s="931"/>
      <c r="P19" s="939"/>
      <c r="Q19" s="939"/>
      <c r="R19" s="931"/>
      <c r="S19" s="940"/>
      <c r="T19" s="287">
        <v>0</v>
      </c>
      <c r="U19" s="931"/>
      <c r="V19" s="932"/>
      <c r="W19" s="287"/>
      <c r="X19" s="931"/>
      <c r="Y19" s="931"/>
      <c r="Z19" s="287"/>
      <c r="AA19" s="287"/>
      <c r="AB19" s="931"/>
      <c r="AC19" s="287"/>
      <c r="AD19" s="287"/>
      <c r="AE19" s="278"/>
      <c r="AF19" s="278"/>
      <c r="AG19" s="290"/>
      <c r="AH19" s="933"/>
      <c r="AI19" s="934"/>
      <c r="AJ19" s="43"/>
    </row>
    <row r="20" spans="1:36" ht="24.95" customHeight="1" x14ac:dyDescent="0.2">
      <c r="A20" s="935">
        <v>6</v>
      </c>
      <c r="B20" s="821" t="s">
        <v>1066</v>
      </c>
      <c r="C20" s="936" t="s">
        <v>1067</v>
      </c>
      <c r="D20" s="821" t="s">
        <v>1068</v>
      </c>
      <c r="E20" s="884"/>
      <c r="F20" s="822" t="s">
        <v>1069</v>
      </c>
      <c r="G20" s="270"/>
      <c r="H20" s="270"/>
      <c r="I20" s="938"/>
      <c r="J20" s="939"/>
      <c r="K20" s="938"/>
      <c r="L20" s="939"/>
      <c r="M20" s="939"/>
      <c r="N20" s="939">
        <v>468000</v>
      </c>
      <c r="O20" s="931">
        <f t="shared" ref="O20" si="21">L20</f>
        <v>0</v>
      </c>
      <c r="P20" s="939">
        <f t="shared" ref="P20" si="22">M20</f>
        <v>0</v>
      </c>
      <c r="Q20" s="939">
        <f t="shared" ref="Q20" si="23">N20</f>
        <v>468000</v>
      </c>
      <c r="R20" s="931">
        <f>SUM(O20:Q22)</f>
        <v>468000</v>
      </c>
      <c r="S20" s="940">
        <f>R20</f>
        <v>468000</v>
      </c>
      <c r="T20" s="287">
        <v>140400</v>
      </c>
      <c r="U20" s="931">
        <f>S20-T20-T21-T22</f>
        <v>327600</v>
      </c>
      <c r="V20" s="932">
        <f>S20*0.82</f>
        <v>383760</v>
      </c>
      <c r="W20" s="287"/>
      <c r="X20" s="931">
        <f>V20-W20-W21-W22</f>
        <v>383760</v>
      </c>
      <c r="Y20" s="931">
        <f t="shared" ref="Y20" si="24">S20*0.17/1.065</f>
        <v>74704.225352112684</v>
      </c>
      <c r="Z20" s="287"/>
      <c r="AA20" s="287"/>
      <c r="AB20" s="931">
        <f t="shared" ref="AB20" si="25">V20*0.2/1.065</f>
        <v>72067.605633802814</v>
      </c>
      <c r="AC20" s="287"/>
      <c r="AD20" s="287"/>
      <c r="AE20" s="278"/>
      <c r="AF20" s="278"/>
      <c r="AG20" s="290"/>
      <c r="AH20" s="933">
        <f>V20-Y20-AB20-AG20-AG21-AG22</f>
        <v>236988.1690140845</v>
      </c>
      <c r="AI20" s="934"/>
      <c r="AJ20" s="43"/>
    </row>
    <row r="21" spans="1:36" ht="24.95" customHeight="1" x14ac:dyDescent="0.2">
      <c r="A21" s="935"/>
      <c r="B21" s="821"/>
      <c r="C21" s="936"/>
      <c r="D21" s="821"/>
      <c r="E21" s="884"/>
      <c r="F21" s="822"/>
      <c r="G21" s="270"/>
      <c r="H21" s="270"/>
      <c r="I21" s="938"/>
      <c r="J21" s="939"/>
      <c r="K21" s="938"/>
      <c r="L21" s="939"/>
      <c r="M21" s="939"/>
      <c r="N21" s="939"/>
      <c r="O21" s="931"/>
      <c r="P21" s="939"/>
      <c r="Q21" s="939"/>
      <c r="R21" s="931"/>
      <c r="S21" s="940"/>
      <c r="T21" s="287">
        <v>0</v>
      </c>
      <c r="U21" s="931"/>
      <c r="V21" s="932"/>
      <c r="W21" s="287"/>
      <c r="X21" s="931"/>
      <c r="Y21" s="931"/>
      <c r="Z21" s="287"/>
      <c r="AA21" s="287"/>
      <c r="AB21" s="931"/>
      <c r="AC21" s="287"/>
      <c r="AD21" s="287"/>
      <c r="AE21" s="278"/>
      <c r="AF21" s="278"/>
      <c r="AG21" s="290"/>
      <c r="AH21" s="933"/>
      <c r="AI21" s="934"/>
      <c r="AJ21" s="43"/>
    </row>
    <row r="22" spans="1:36" ht="24.95" customHeight="1" x14ac:dyDescent="0.2">
      <c r="A22" s="935"/>
      <c r="B22" s="821"/>
      <c r="C22" s="936"/>
      <c r="D22" s="821"/>
      <c r="E22" s="884"/>
      <c r="F22" s="822"/>
      <c r="G22" s="270"/>
      <c r="H22" s="270"/>
      <c r="I22" s="938"/>
      <c r="J22" s="939"/>
      <c r="K22" s="938"/>
      <c r="L22" s="939"/>
      <c r="M22" s="939"/>
      <c r="N22" s="939"/>
      <c r="O22" s="931"/>
      <c r="P22" s="939"/>
      <c r="Q22" s="939"/>
      <c r="R22" s="931"/>
      <c r="S22" s="940"/>
      <c r="T22" s="287">
        <v>0</v>
      </c>
      <c r="U22" s="931"/>
      <c r="V22" s="932"/>
      <c r="W22" s="287"/>
      <c r="X22" s="931"/>
      <c r="Y22" s="931"/>
      <c r="Z22" s="287"/>
      <c r="AA22" s="287"/>
      <c r="AB22" s="931"/>
      <c r="AC22" s="287"/>
      <c r="AD22" s="287"/>
      <c r="AE22" s="278"/>
      <c r="AF22" s="278"/>
      <c r="AG22" s="290"/>
      <c r="AH22" s="933"/>
      <c r="AI22" s="934"/>
      <c r="AJ22" s="43"/>
    </row>
    <row r="23" spans="1:36" ht="24.95" customHeight="1" x14ac:dyDescent="0.2">
      <c r="A23" s="935">
        <v>7</v>
      </c>
      <c r="B23" s="821" t="s">
        <v>1070</v>
      </c>
      <c r="C23" s="936"/>
      <c r="D23" s="821"/>
      <c r="E23" s="884"/>
      <c r="F23" s="822" t="s">
        <v>1071</v>
      </c>
      <c r="G23" s="270"/>
      <c r="H23" s="270"/>
      <c r="I23" s="938"/>
      <c r="J23" s="939"/>
      <c r="K23" s="938"/>
      <c r="L23" s="939"/>
      <c r="M23" s="939"/>
      <c r="N23" s="939"/>
      <c r="O23" s="931">
        <f t="shared" ref="O23" si="26">L23</f>
        <v>0</v>
      </c>
      <c r="P23" s="939">
        <f t="shared" ref="P23" si="27">M23</f>
        <v>0</v>
      </c>
      <c r="Q23" s="939">
        <f t="shared" ref="Q23" si="28">N23</f>
        <v>0</v>
      </c>
      <c r="R23" s="931">
        <f>SUM(O23:Q25)</f>
        <v>0</v>
      </c>
      <c r="S23" s="940">
        <f>R23</f>
        <v>0</v>
      </c>
      <c r="T23" s="287">
        <v>0</v>
      </c>
      <c r="U23" s="931">
        <f>S23-T23-T24-T25</f>
        <v>0</v>
      </c>
      <c r="V23" s="932">
        <f>S23*0.8</f>
        <v>0</v>
      </c>
      <c r="W23" s="287"/>
      <c r="X23" s="931">
        <f>V23-W23-W24-W25</f>
        <v>0</v>
      </c>
      <c r="Y23" s="931">
        <f t="shared" ref="Y23" si="29">S23*0.17/1.065</f>
        <v>0</v>
      </c>
      <c r="Z23" s="287"/>
      <c r="AA23" s="287"/>
      <c r="AB23" s="931">
        <f t="shared" ref="AB23" si="30">V23*0.2/1.065</f>
        <v>0</v>
      </c>
      <c r="AC23" s="287"/>
      <c r="AD23" s="287"/>
      <c r="AE23" s="278"/>
      <c r="AF23" s="278"/>
      <c r="AG23" s="290"/>
      <c r="AH23" s="933">
        <f>V23-Y23-AB23-AG23-AG24-AG25</f>
        <v>0</v>
      </c>
      <c r="AI23" s="934"/>
      <c r="AJ23" s="43"/>
    </row>
    <row r="24" spans="1:36" ht="24.95" customHeight="1" x14ac:dyDescent="0.2">
      <c r="A24" s="935"/>
      <c r="B24" s="821"/>
      <c r="C24" s="936"/>
      <c r="D24" s="821"/>
      <c r="E24" s="884"/>
      <c r="F24" s="822"/>
      <c r="G24" s="270"/>
      <c r="H24" s="270"/>
      <c r="I24" s="938"/>
      <c r="J24" s="939"/>
      <c r="K24" s="938"/>
      <c r="L24" s="939"/>
      <c r="M24" s="939"/>
      <c r="N24" s="939"/>
      <c r="O24" s="931"/>
      <c r="P24" s="939"/>
      <c r="Q24" s="939"/>
      <c r="R24" s="931"/>
      <c r="S24" s="940"/>
      <c r="T24" s="287">
        <v>0</v>
      </c>
      <c r="U24" s="931"/>
      <c r="V24" s="932"/>
      <c r="W24" s="287"/>
      <c r="X24" s="931"/>
      <c r="Y24" s="931"/>
      <c r="Z24" s="287"/>
      <c r="AA24" s="287"/>
      <c r="AB24" s="931"/>
      <c r="AC24" s="287"/>
      <c r="AD24" s="287"/>
      <c r="AE24" s="278"/>
      <c r="AF24" s="278"/>
      <c r="AG24" s="290"/>
      <c r="AH24" s="933"/>
      <c r="AI24" s="934"/>
      <c r="AJ24" s="43"/>
    </row>
    <row r="25" spans="1:36" ht="24.95" customHeight="1" x14ac:dyDescent="0.2">
      <c r="A25" s="935"/>
      <c r="B25" s="821"/>
      <c r="C25" s="936"/>
      <c r="D25" s="821"/>
      <c r="E25" s="884"/>
      <c r="F25" s="822"/>
      <c r="G25" s="270"/>
      <c r="H25" s="270"/>
      <c r="I25" s="938"/>
      <c r="J25" s="939"/>
      <c r="K25" s="938"/>
      <c r="L25" s="939"/>
      <c r="M25" s="939"/>
      <c r="N25" s="939"/>
      <c r="O25" s="931"/>
      <c r="P25" s="939"/>
      <c r="Q25" s="939"/>
      <c r="R25" s="931"/>
      <c r="S25" s="940"/>
      <c r="T25" s="287">
        <v>0</v>
      </c>
      <c r="U25" s="931"/>
      <c r="V25" s="932"/>
      <c r="W25" s="287"/>
      <c r="X25" s="931"/>
      <c r="Y25" s="931"/>
      <c r="Z25" s="287"/>
      <c r="AA25" s="287"/>
      <c r="AB25" s="931"/>
      <c r="AC25" s="287"/>
      <c r="AD25" s="287"/>
      <c r="AE25" s="278"/>
      <c r="AF25" s="278"/>
      <c r="AG25" s="290"/>
      <c r="AH25" s="933"/>
      <c r="AI25" s="934"/>
      <c r="AJ25" s="43"/>
    </row>
    <row r="26" spans="1:36" ht="24.95" customHeight="1" x14ac:dyDescent="0.2">
      <c r="A26" s="935">
        <v>8</v>
      </c>
      <c r="B26" s="821" t="s">
        <v>1072</v>
      </c>
      <c r="C26" s="936" t="s">
        <v>1067</v>
      </c>
      <c r="D26" s="821" t="s">
        <v>1073</v>
      </c>
      <c r="E26" s="884"/>
      <c r="F26" s="822" t="s">
        <v>1074</v>
      </c>
      <c r="G26" s="270"/>
      <c r="H26" s="270"/>
      <c r="I26" s="938"/>
      <c r="J26" s="939"/>
      <c r="K26" s="938"/>
      <c r="L26" s="939"/>
      <c r="M26" s="939"/>
      <c r="N26" s="939"/>
      <c r="O26" s="931">
        <f t="shared" ref="O26" si="31">L26</f>
        <v>0</v>
      </c>
      <c r="P26" s="939">
        <f t="shared" ref="P26" si="32">M26</f>
        <v>0</v>
      </c>
      <c r="Q26" s="939">
        <f t="shared" ref="Q26" si="33">N26</f>
        <v>0</v>
      </c>
      <c r="R26" s="931">
        <f>SUM(O26:Q28)</f>
        <v>0</v>
      </c>
      <c r="S26" s="940">
        <f>R26</f>
        <v>0</v>
      </c>
      <c r="T26" s="287">
        <v>0</v>
      </c>
      <c r="U26" s="931">
        <f>S26-T26-T27-T28</f>
        <v>0</v>
      </c>
      <c r="V26" s="932">
        <f>S26*0.8</f>
        <v>0</v>
      </c>
      <c r="W26" s="287"/>
      <c r="X26" s="931">
        <f>V26-W26-W27-W28</f>
        <v>0</v>
      </c>
      <c r="Y26" s="931">
        <f t="shared" ref="Y26" si="34">S26*0.17/1.065</f>
        <v>0</v>
      </c>
      <c r="Z26" s="287"/>
      <c r="AA26" s="287"/>
      <c r="AB26" s="931">
        <f t="shared" ref="AB26" si="35">V26*0.2/1.065</f>
        <v>0</v>
      </c>
      <c r="AC26" s="287"/>
      <c r="AD26" s="287"/>
      <c r="AE26" s="278"/>
      <c r="AF26" s="278"/>
      <c r="AG26" s="290"/>
      <c r="AH26" s="933">
        <f>V26-Y26-AB26-AG26-AG27-AG28</f>
        <v>0</v>
      </c>
      <c r="AI26" s="934"/>
      <c r="AJ26" s="43"/>
    </row>
    <row r="27" spans="1:36" ht="24.95" customHeight="1" x14ac:dyDescent="0.2">
      <c r="A27" s="935"/>
      <c r="B27" s="821"/>
      <c r="C27" s="936"/>
      <c r="D27" s="821"/>
      <c r="E27" s="884"/>
      <c r="F27" s="822"/>
      <c r="G27" s="270"/>
      <c r="H27" s="270"/>
      <c r="I27" s="938"/>
      <c r="J27" s="939"/>
      <c r="K27" s="938"/>
      <c r="L27" s="939"/>
      <c r="M27" s="939"/>
      <c r="N27" s="939"/>
      <c r="O27" s="931"/>
      <c r="P27" s="939"/>
      <c r="Q27" s="939"/>
      <c r="R27" s="931"/>
      <c r="S27" s="940"/>
      <c r="T27" s="287">
        <v>0</v>
      </c>
      <c r="U27" s="931"/>
      <c r="V27" s="932"/>
      <c r="W27" s="287"/>
      <c r="X27" s="931"/>
      <c r="Y27" s="931"/>
      <c r="Z27" s="287"/>
      <c r="AA27" s="287"/>
      <c r="AB27" s="931"/>
      <c r="AC27" s="287"/>
      <c r="AD27" s="287"/>
      <c r="AE27" s="278"/>
      <c r="AF27" s="278"/>
      <c r="AG27" s="290"/>
      <c r="AH27" s="933"/>
      <c r="AI27" s="934"/>
      <c r="AJ27" s="43"/>
    </row>
    <row r="28" spans="1:36" ht="24.95" customHeight="1" x14ac:dyDescent="0.2">
      <c r="A28" s="935"/>
      <c r="B28" s="821"/>
      <c r="C28" s="936"/>
      <c r="D28" s="821"/>
      <c r="E28" s="884"/>
      <c r="F28" s="822"/>
      <c r="G28" s="270"/>
      <c r="H28" s="270"/>
      <c r="I28" s="938"/>
      <c r="J28" s="939"/>
      <c r="K28" s="938"/>
      <c r="L28" s="939"/>
      <c r="M28" s="939"/>
      <c r="N28" s="939"/>
      <c r="O28" s="931"/>
      <c r="P28" s="939"/>
      <c r="Q28" s="939"/>
      <c r="R28" s="931"/>
      <c r="S28" s="940"/>
      <c r="T28" s="287">
        <v>0</v>
      </c>
      <c r="U28" s="931"/>
      <c r="V28" s="932"/>
      <c r="W28" s="287"/>
      <c r="X28" s="931"/>
      <c r="Y28" s="931"/>
      <c r="Z28" s="287"/>
      <c r="AA28" s="287"/>
      <c r="AB28" s="931"/>
      <c r="AC28" s="287"/>
      <c r="AD28" s="287"/>
      <c r="AE28" s="278"/>
      <c r="AF28" s="278"/>
      <c r="AG28" s="290"/>
      <c r="AH28" s="933"/>
      <c r="AI28" s="934"/>
      <c r="AJ28" s="43"/>
    </row>
    <row r="29" spans="1:36" ht="24.95" customHeight="1" x14ac:dyDescent="0.2">
      <c r="A29" s="935"/>
      <c r="B29" s="821"/>
      <c r="C29" s="936"/>
      <c r="D29" s="821"/>
      <c r="E29" s="884"/>
      <c r="F29" s="822"/>
      <c r="G29" s="270"/>
      <c r="H29" s="270"/>
      <c r="I29" s="938"/>
      <c r="J29" s="939"/>
      <c r="K29" s="938"/>
      <c r="L29" s="939"/>
      <c r="M29" s="939"/>
      <c r="N29" s="939"/>
      <c r="O29" s="931">
        <f t="shared" ref="O29:Q29" si="36">L29</f>
        <v>0</v>
      </c>
      <c r="P29" s="939">
        <f t="shared" si="36"/>
        <v>0</v>
      </c>
      <c r="Q29" s="939">
        <f t="shared" si="36"/>
        <v>0</v>
      </c>
      <c r="R29" s="931">
        <f>SUM(O29:Q31)</f>
        <v>0</v>
      </c>
      <c r="S29" s="940">
        <f>R29</f>
        <v>0</v>
      </c>
      <c r="T29" s="287">
        <v>0</v>
      </c>
      <c r="U29" s="931">
        <f>S29-T29-T30-T31</f>
        <v>0</v>
      </c>
      <c r="V29" s="932">
        <f>S29*0.8</f>
        <v>0</v>
      </c>
      <c r="W29" s="287"/>
      <c r="X29" s="931">
        <f>V29-W29-W30-W31</f>
        <v>0</v>
      </c>
      <c r="Y29" s="931">
        <f t="shared" ref="Y29" si="37">S29*0.17/1.065</f>
        <v>0</v>
      </c>
      <c r="Z29" s="287"/>
      <c r="AA29" s="287"/>
      <c r="AB29" s="931">
        <f t="shared" ref="AB29" si="38">V29*0.2/1.065</f>
        <v>0</v>
      </c>
      <c r="AC29" s="287"/>
      <c r="AD29" s="287"/>
      <c r="AE29" s="278"/>
      <c r="AF29" s="278"/>
      <c r="AG29" s="290"/>
      <c r="AH29" s="933">
        <f>V29-Y29-AB29-AG29-AG30-AG31</f>
        <v>0</v>
      </c>
      <c r="AI29" s="934"/>
      <c r="AJ29" s="43"/>
    </row>
    <row r="30" spans="1:36" ht="24.95" customHeight="1" x14ac:dyDescent="0.2">
      <c r="A30" s="935"/>
      <c r="B30" s="821"/>
      <c r="C30" s="936"/>
      <c r="D30" s="821"/>
      <c r="E30" s="884"/>
      <c r="F30" s="822"/>
      <c r="G30" s="270"/>
      <c r="H30" s="270"/>
      <c r="I30" s="938"/>
      <c r="J30" s="939"/>
      <c r="K30" s="938"/>
      <c r="L30" s="939"/>
      <c r="M30" s="939"/>
      <c r="N30" s="939"/>
      <c r="O30" s="931"/>
      <c r="P30" s="939"/>
      <c r="Q30" s="939"/>
      <c r="R30" s="931"/>
      <c r="S30" s="940"/>
      <c r="T30" s="287">
        <v>0</v>
      </c>
      <c r="U30" s="931"/>
      <c r="V30" s="932"/>
      <c r="W30" s="287"/>
      <c r="X30" s="931"/>
      <c r="Y30" s="931"/>
      <c r="Z30" s="287"/>
      <c r="AA30" s="287"/>
      <c r="AB30" s="931"/>
      <c r="AC30" s="287"/>
      <c r="AD30" s="287"/>
      <c r="AE30" s="278"/>
      <c r="AF30" s="278"/>
      <c r="AG30" s="290"/>
      <c r="AH30" s="933"/>
      <c r="AI30" s="934"/>
      <c r="AJ30" s="43"/>
    </row>
    <row r="31" spans="1:36" ht="24.95" customHeight="1" thickBot="1" x14ac:dyDescent="0.25">
      <c r="A31" s="957"/>
      <c r="B31" s="958"/>
      <c r="C31" s="959"/>
      <c r="D31" s="958"/>
      <c r="E31" s="960"/>
      <c r="F31" s="961"/>
      <c r="G31" s="281"/>
      <c r="H31" s="281"/>
      <c r="I31" s="962"/>
      <c r="J31" s="955"/>
      <c r="K31" s="962"/>
      <c r="L31" s="955"/>
      <c r="M31" s="955"/>
      <c r="N31" s="955"/>
      <c r="O31" s="952"/>
      <c r="P31" s="955"/>
      <c r="Q31" s="955"/>
      <c r="R31" s="952"/>
      <c r="S31" s="956"/>
      <c r="T31" s="322">
        <v>0</v>
      </c>
      <c r="U31" s="952"/>
      <c r="V31" s="951"/>
      <c r="W31" s="322"/>
      <c r="X31" s="952"/>
      <c r="Y31" s="952"/>
      <c r="Z31" s="322"/>
      <c r="AA31" s="322"/>
      <c r="AB31" s="952"/>
      <c r="AC31" s="322"/>
      <c r="AD31" s="322"/>
      <c r="AE31" s="323"/>
      <c r="AF31" s="323"/>
      <c r="AG31" s="324"/>
      <c r="AH31" s="953"/>
      <c r="AI31" s="954"/>
      <c r="AJ31" s="43"/>
    </row>
    <row r="32" spans="1:36" s="114" customFormat="1" ht="24.95" customHeight="1" thickBot="1" x14ac:dyDescent="0.25">
      <c r="A32" s="945" t="s">
        <v>224</v>
      </c>
      <c r="B32" s="946"/>
      <c r="C32" s="946"/>
      <c r="D32" s="946"/>
      <c r="E32" s="946"/>
      <c r="F32" s="946"/>
      <c r="G32" s="946"/>
      <c r="H32" s="946"/>
      <c r="I32" s="325">
        <f t="shared" ref="I32:N32" si="39">SUM(I5:I31)</f>
        <v>876300</v>
      </c>
      <c r="J32" s="325">
        <f t="shared" si="39"/>
        <v>0</v>
      </c>
      <c r="K32" s="325">
        <f t="shared" si="39"/>
        <v>0</v>
      </c>
      <c r="L32" s="325">
        <f t="shared" si="39"/>
        <v>0</v>
      </c>
      <c r="M32" s="325">
        <f t="shared" si="39"/>
        <v>0</v>
      </c>
      <c r="N32" s="325">
        <f t="shared" si="39"/>
        <v>468000</v>
      </c>
      <c r="O32" s="325" t="e">
        <f>SUM(#REF!)</f>
        <v>#REF!</v>
      </c>
      <c r="P32" s="325" t="e">
        <f>SUM(#REF!)</f>
        <v>#REF!</v>
      </c>
      <c r="Q32" s="325" t="e">
        <f>SUM(#REF!)</f>
        <v>#REF!</v>
      </c>
      <c r="R32" s="325" t="e">
        <f>SUM(#REF!)</f>
        <v>#REF!</v>
      </c>
      <c r="S32" s="325" t="e">
        <f>SUM(#REF!)</f>
        <v>#REF!</v>
      </c>
      <c r="T32" s="325" t="e">
        <f>SUM(#REF!)</f>
        <v>#REF!</v>
      </c>
      <c r="U32" s="325" t="e">
        <f>SUM(#REF!)</f>
        <v>#REF!</v>
      </c>
      <c r="V32" s="325" t="e">
        <f>SUM(#REF!)</f>
        <v>#REF!</v>
      </c>
      <c r="W32" s="325" t="e">
        <f>SUM(#REF!)</f>
        <v>#REF!</v>
      </c>
      <c r="X32" s="325" t="e">
        <f>SUM(#REF!)</f>
        <v>#REF!</v>
      </c>
      <c r="Y32" s="325" t="e">
        <f>SUM(#REF!)</f>
        <v>#REF!</v>
      </c>
      <c r="Z32" s="325"/>
      <c r="AA32" s="325"/>
      <c r="AB32" s="325" t="e">
        <f>SUM(#REF!)</f>
        <v>#REF!</v>
      </c>
      <c r="AC32" s="325"/>
      <c r="AD32" s="325"/>
      <c r="AE32" s="326"/>
      <c r="AF32" s="326"/>
      <c r="AG32" s="326" t="e">
        <f>SUM(#REF!)</f>
        <v>#REF!</v>
      </c>
      <c r="AH32" s="325" t="e">
        <f>SUM(#REF!)</f>
        <v>#REF!</v>
      </c>
      <c r="AI32" s="327"/>
    </row>
    <row r="33" spans="1:35" ht="24.95" customHeight="1" x14ac:dyDescent="0.2">
      <c r="A33" s="745"/>
      <c r="B33" s="745"/>
      <c r="C33" s="745"/>
      <c r="D33" s="745"/>
      <c r="E33" s="745"/>
      <c r="F33" s="745"/>
      <c r="G33" s="745"/>
      <c r="H33" s="745"/>
      <c r="I33" s="46"/>
      <c r="J33" s="46"/>
      <c r="K33" s="46"/>
      <c r="L33" s="46"/>
      <c r="M33" s="46"/>
      <c r="N33" s="46"/>
      <c r="O33" s="46"/>
      <c r="P33" s="46"/>
      <c r="Q33" s="46"/>
      <c r="R33" s="46"/>
      <c r="S33" s="48"/>
      <c r="T33" s="46"/>
      <c r="U33" s="46"/>
      <c r="V33" s="50"/>
      <c r="W33" s="46"/>
      <c r="X33" s="46"/>
      <c r="Y33" s="46"/>
      <c r="Z33" s="46"/>
      <c r="AA33" s="46"/>
      <c r="AB33" s="46"/>
      <c r="AC33" s="46"/>
      <c r="AD33" s="46"/>
      <c r="AE33" s="51"/>
      <c r="AF33" s="51"/>
      <c r="AG33" s="180"/>
      <c r="AH33" s="52"/>
      <c r="AI33" s="53"/>
    </row>
  </sheetData>
  <mergeCells count="246">
    <mergeCell ref="A1:AI1"/>
    <mergeCell ref="A2:A4"/>
    <mergeCell ref="B2:C2"/>
    <mergeCell ref="G2:H2"/>
    <mergeCell ref="I2:K2"/>
    <mergeCell ref="L2:N2"/>
    <mergeCell ref="O2:U2"/>
    <mergeCell ref="V2:AH2"/>
    <mergeCell ref="AI2:AI4"/>
    <mergeCell ref="K3:K4"/>
    <mergeCell ref="AJ2:AJ4"/>
    <mergeCell ref="B3:B4"/>
    <mergeCell ref="C3:C4"/>
    <mergeCell ref="D3:D4"/>
    <mergeCell ref="E3:E4"/>
    <mergeCell ref="F3:F4"/>
    <mergeCell ref="G3:G4"/>
    <mergeCell ref="H3:H4"/>
    <mergeCell ref="I3:I4"/>
    <mergeCell ref="J3:J4"/>
    <mergeCell ref="Y3:AG3"/>
    <mergeCell ref="AH3:AH4"/>
    <mergeCell ref="L3:L4"/>
    <mergeCell ref="M3:M4"/>
    <mergeCell ref="N3:N4"/>
    <mergeCell ref="O3:R3"/>
    <mergeCell ref="S3:U3"/>
    <mergeCell ref="V3:X3"/>
    <mergeCell ref="P5:P7"/>
    <mergeCell ref="Q5:Q7"/>
    <mergeCell ref="R5:R7"/>
    <mergeCell ref="S5:S7"/>
    <mergeCell ref="L5:L7"/>
    <mergeCell ref="M5:M7"/>
    <mergeCell ref="Y20:Y22"/>
    <mergeCell ref="AB20:AB22"/>
    <mergeCell ref="AH20:AH22"/>
    <mergeCell ref="R11:R13"/>
    <mergeCell ref="S11:S13"/>
    <mergeCell ref="U11:U13"/>
    <mergeCell ref="V11:V13"/>
    <mergeCell ref="X11:X13"/>
    <mergeCell ref="Y11:Y13"/>
    <mergeCell ref="V20:V22"/>
    <mergeCell ref="X20:X22"/>
    <mergeCell ref="M8:M10"/>
    <mergeCell ref="N5:N7"/>
    <mergeCell ref="O5:O7"/>
    <mergeCell ref="X5:X7"/>
    <mergeCell ref="Y5:Y7"/>
    <mergeCell ref="AH14:AH16"/>
    <mergeCell ref="AH17:AH19"/>
    <mergeCell ref="AI17:AI19"/>
    <mergeCell ref="U17:U19"/>
    <mergeCell ref="V17:V19"/>
    <mergeCell ref="X17:X19"/>
    <mergeCell ref="AI11:AI13"/>
    <mergeCell ref="O11:O13"/>
    <mergeCell ref="P11:P13"/>
    <mergeCell ref="Q11:Q13"/>
    <mergeCell ref="AB11:AB13"/>
    <mergeCell ref="AH11:AH13"/>
    <mergeCell ref="A11:A13"/>
    <mergeCell ref="B11:B13"/>
    <mergeCell ref="C11:C13"/>
    <mergeCell ref="D11:D13"/>
    <mergeCell ref="E11:E13"/>
    <mergeCell ref="F11:F13"/>
    <mergeCell ref="V14:V16"/>
    <mergeCell ref="X14:X16"/>
    <mergeCell ref="Y14:Y16"/>
    <mergeCell ref="D14:D16"/>
    <mergeCell ref="I17:I19"/>
    <mergeCell ref="Y17:Y19"/>
    <mergeCell ref="AB17:AB19"/>
    <mergeCell ref="M17:M19"/>
    <mergeCell ref="N17:N19"/>
    <mergeCell ref="O17:O19"/>
    <mergeCell ref="P17:P19"/>
    <mergeCell ref="Q17:Q19"/>
    <mergeCell ref="R17:R19"/>
    <mergeCell ref="S17:S19"/>
    <mergeCell ref="F17:F19"/>
    <mergeCell ref="F14:F16"/>
    <mergeCell ref="I14:I16"/>
    <mergeCell ref="J14:J16"/>
    <mergeCell ref="AB14:AB16"/>
    <mergeCell ref="J11:J13"/>
    <mergeCell ref="K11:K13"/>
    <mergeCell ref="L11:L13"/>
    <mergeCell ref="M11:M13"/>
    <mergeCell ref="N11:N13"/>
    <mergeCell ref="O23:O25"/>
    <mergeCell ref="P23:P25"/>
    <mergeCell ref="Q23:Q25"/>
    <mergeCell ref="AI14:AI16"/>
    <mergeCell ref="K17:K19"/>
    <mergeCell ref="L17:L19"/>
    <mergeCell ref="O14:O16"/>
    <mergeCell ref="P14:P16"/>
    <mergeCell ref="Q14:Q16"/>
    <mergeCell ref="R14:R16"/>
    <mergeCell ref="S14:S16"/>
    <mergeCell ref="U14:U16"/>
    <mergeCell ref="K14:K16"/>
    <mergeCell ref="L14:L16"/>
    <mergeCell ref="M14:M16"/>
    <mergeCell ref="N14:N16"/>
    <mergeCell ref="AI20:AI22"/>
    <mergeCell ref="AH23:AH25"/>
    <mergeCell ref="AI23:AI25"/>
    <mergeCell ref="R23:R25"/>
    <mergeCell ref="S23:S25"/>
    <mergeCell ref="U23:U25"/>
    <mergeCell ref="I23:I25"/>
    <mergeCell ref="J23:J25"/>
    <mergeCell ref="K23:K25"/>
    <mergeCell ref="L23:L25"/>
    <mergeCell ref="M23:M25"/>
    <mergeCell ref="Q20:Q22"/>
    <mergeCell ref="R20:R22"/>
    <mergeCell ref="S20:S22"/>
    <mergeCell ref="U20:U22"/>
    <mergeCell ref="K20:K22"/>
    <mergeCell ref="L20:L22"/>
    <mergeCell ref="M20:M22"/>
    <mergeCell ref="N20:N22"/>
    <mergeCell ref="O20:O22"/>
    <mergeCell ref="P20:P22"/>
    <mergeCell ref="N23:N25"/>
    <mergeCell ref="N26:N28"/>
    <mergeCell ref="O26:O28"/>
    <mergeCell ref="P26:P28"/>
    <mergeCell ref="Q26:Q28"/>
    <mergeCell ref="R26:R28"/>
    <mergeCell ref="S26:S28"/>
    <mergeCell ref="I26:I28"/>
    <mergeCell ref="J26:J28"/>
    <mergeCell ref="K26:K28"/>
    <mergeCell ref="L26:L28"/>
    <mergeCell ref="M26:M28"/>
    <mergeCell ref="A8:A10"/>
    <mergeCell ref="B8:B10"/>
    <mergeCell ref="C8:C10"/>
    <mergeCell ref="D8:D10"/>
    <mergeCell ref="E8:E10"/>
    <mergeCell ref="J8:J10"/>
    <mergeCell ref="K8:K10"/>
    <mergeCell ref="L8:L10"/>
    <mergeCell ref="D23:D25"/>
    <mergeCell ref="B17:B19"/>
    <mergeCell ref="C17:C19"/>
    <mergeCell ref="F23:F25"/>
    <mergeCell ref="E17:E19"/>
    <mergeCell ref="J17:J19"/>
    <mergeCell ref="A20:A22"/>
    <mergeCell ref="B20:B22"/>
    <mergeCell ref="C20:C22"/>
    <mergeCell ref="D20:D22"/>
    <mergeCell ref="E20:E22"/>
    <mergeCell ref="F20:F22"/>
    <mergeCell ref="I20:I22"/>
    <mergeCell ref="J20:J22"/>
    <mergeCell ref="D17:D19"/>
    <mergeCell ref="I11:I13"/>
    <mergeCell ref="A5:A7"/>
    <mergeCell ref="B5:B7"/>
    <mergeCell ref="C5:C7"/>
    <mergeCell ref="D5:D7"/>
    <mergeCell ref="E5:E7"/>
    <mergeCell ref="F5:F7"/>
    <mergeCell ref="I5:I7"/>
    <mergeCell ref="J5:J7"/>
    <mergeCell ref="K5:K7"/>
    <mergeCell ref="AB5:AB7"/>
    <mergeCell ref="AH5:AH7"/>
    <mergeCell ref="AI5:AI7"/>
    <mergeCell ref="U5:U7"/>
    <mergeCell ref="V5:V7"/>
    <mergeCell ref="AI8:AI10"/>
    <mergeCell ref="A29:A31"/>
    <mergeCell ref="B29:B31"/>
    <mergeCell ref="C29:C31"/>
    <mergeCell ref="D29:D31"/>
    <mergeCell ref="E29:E31"/>
    <mergeCell ref="F29:F31"/>
    <mergeCell ref="I29:I31"/>
    <mergeCell ref="J29:J31"/>
    <mergeCell ref="K29:K31"/>
    <mergeCell ref="U8:U10"/>
    <mergeCell ref="V8:V10"/>
    <mergeCell ref="X8:X10"/>
    <mergeCell ref="Y8:Y10"/>
    <mergeCell ref="AB8:AB10"/>
    <mergeCell ref="AH8:AH10"/>
    <mergeCell ref="N8:N10"/>
    <mergeCell ref="O8:O10"/>
    <mergeCell ref="P8:P10"/>
    <mergeCell ref="Q8:Q10"/>
    <mergeCell ref="R8:R10"/>
    <mergeCell ref="S8:S10"/>
    <mergeCell ref="F8:F10"/>
    <mergeCell ref="I8:I10"/>
    <mergeCell ref="AH29:AH31"/>
    <mergeCell ref="AI29:AI31"/>
    <mergeCell ref="U29:U31"/>
    <mergeCell ref="V29:V31"/>
    <mergeCell ref="X29:X31"/>
    <mergeCell ref="Y29:Y31"/>
    <mergeCell ref="AI26:AI28"/>
    <mergeCell ref="U26:U28"/>
    <mergeCell ref="V26:V28"/>
    <mergeCell ref="AB29:AB31"/>
    <mergeCell ref="X26:X28"/>
    <mergeCell ref="Y26:Y28"/>
    <mergeCell ref="AB26:AB28"/>
    <mergeCell ref="V23:V25"/>
    <mergeCell ref="X23:X25"/>
    <mergeCell ref="Y23:Y25"/>
    <mergeCell ref="AB23:AB25"/>
    <mergeCell ref="F26:F28"/>
    <mergeCell ref="AH26:AH28"/>
    <mergeCell ref="A32:H32"/>
    <mergeCell ref="A33:H33"/>
    <mergeCell ref="A14:A16"/>
    <mergeCell ref="B14:B16"/>
    <mergeCell ref="C14:C16"/>
    <mergeCell ref="E14:E16"/>
    <mergeCell ref="A17:A19"/>
    <mergeCell ref="R29:R31"/>
    <mergeCell ref="S29:S31"/>
    <mergeCell ref="L29:L31"/>
    <mergeCell ref="M29:M31"/>
    <mergeCell ref="N29:N31"/>
    <mergeCell ref="O29:O31"/>
    <mergeCell ref="P29:P31"/>
    <mergeCell ref="Q29:Q31"/>
    <mergeCell ref="A23:A25"/>
    <mergeCell ref="B23:B25"/>
    <mergeCell ref="C23:C25"/>
    <mergeCell ref="E23:E25"/>
    <mergeCell ref="A26:A28"/>
    <mergeCell ref="B26:B28"/>
    <mergeCell ref="C26:C28"/>
    <mergeCell ref="E26:E28"/>
    <mergeCell ref="D26:D28"/>
  </mergeCells>
  <phoneticPr fontId="37" type="noConversion"/>
  <conditionalFormatting sqref="O5:O31">
    <cfRule type="cellIs" dxfId="2" priority="3" operator="between">
      <formula>1000000</formula>
      <formula>2000000</formula>
    </cfRule>
    <cfRule type="cellIs" dxfId="1" priority="4" operator="greaterThan">
      <formula>2000000</formula>
    </cfRule>
  </conditionalFormatting>
  <conditionalFormatting sqref="U5:U31">
    <cfRule type="cellIs" dxfId="0" priority="5" operator="greaterThan">
      <formula>0</formula>
    </cfRule>
  </conditionalFormatting>
  <printOptions horizontalCentered="1"/>
  <pageMargins left="0.43307086614173201" right="0.39370078740157499" top="0.39370078740157499" bottom="0.39370078740157499" header="0.196850393700787" footer="0.23622047244094499"/>
  <pageSetup paperSize="8" scale="3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4"/>
  <sheetViews>
    <sheetView zoomScale="85" zoomScaleNormal="85" workbookViewId="0">
      <selection activeCell="N12" sqref="N12"/>
    </sheetView>
  </sheetViews>
  <sheetFormatPr defaultColWidth="15.7109375" defaultRowHeight="24.95" customHeight="1" x14ac:dyDescent="0.2"/>
  <cols>
    <col min="1" max="1" width="5.7109375" style="240" customWidth="1"/>
    <col min="2" max="16384" width="15.7109375" style="240"/>
  </cols>
  <sheetData>
    <row r="1" spans="1:11" ht="24.95" customHeight="1" thickBot="1" x14ac:dyDescent="0.25">
      <c r="A1" s="989" t="s">
        <v>733</v>
      </c>
      <c r="B1" s="989"/>
      <c r="C1" s="989"/>
      <c r="D1" s="989"/>
      <c r="E1" s="989"/>
      <c r="F1" s="989"/>
      <c r="G1" s="989"/>
      <c r="H1" s="989"/>
      <c r="I1" s="989"/>
      <c r="J1" s="989"/>
      <c r="K1" s="989"/>
    </row>
    <row r="2" spans="1:11" ht="24.95" customHeight="1" x14ac:dyDescent="0.2">
      <c r="A2" s="987" t="s">
        <v>721</v>
      </c>
      <c r="B2" s="985" t="s">
        <v>722</v>
      </c>
      <c r="C2" s="985" t="s">
        <v>654</v>
      </c>
      <c r="D2" s="985"/>
      <c r="E2" s="985"/>
      <c r="F2" s="985" t="s">
        <v>729</v>
      </c>
      <c r="G2" s="985"/>
      <c r="H2" s="985"/>
      <c r="I2" s="985"/>
      <c r="J2" s="985"/>
      <c r="K2" s="992"/>
    </row>
    <row r="3" spans="1:11" ht="24.95" customHeight="1" x14ac:dyDescent="0.2">
      <c r="A3" s="988"/>
      <c r="B3" s="986"/>
      <c r="C3" s="986" t="s">
        <v>658</v>
      </c>
      <c r="D3" s="986"/>
      <c r="E3" s="986"/>
      <c r="F3" s="986" t="s">
        <v>730</v>
      </c>
      <c r="G3" s="986"/>
      <c r="H3" s="986"/>
      <c r="I3" s="986" t="s">
        <v>731</v>
      </c>
      <c r="J3" s="986"/>
      <c r="K3" s="993"/>
    </row>
    <row r="4" spans="1:11" ht="24.95" customHeight="1" x14ac:dyDescent="0.2">
      <c r="A4" s="988"/>
      <c r="B4" s="986"/>
      <c r="C4" s="245" t="s">
        <v>723</v>
      </c>
      <c r="D4" s="245" t="s">
        <v>732</v>
      </c>
      <c r="E4" s="245" t="s">
        <v>725</v>
      </c>
      <c r="F4" s="245" t="s">
        <v>726</v>
      </c>
      <c r="G4" s="245" t="s">
        <v>727</v>
      </c>
      <c r="H4" s="245" t="s">
        <v>728</v>
      </c>
      <c r="I4" s="245" t="s">
        <v>723</v>
      </c>
      <c r="J4" s="245" t="s">
        <v>724</v>
      </c>
      <c r="K4" s="248" t="s">
        <v>725</v>
      </c>
    </row>
    <row r="5" spans="1:11" ht="24.95" customHeight="1" x14ac:dyDescent="0.2">
      <c r="A5" s="247">
        <v>1</v>
      </c>
      <c r="B5" s="245">
        <v>2017</v>
      </c>
      <c r="C5" s="246">
        <f>'2017 '!T94</f>
        <v>10379509.612539681</v>
      </c>
      <c r="D5" s="246">
        <f>'2017 '!U94</f>
        <v>9964678.5500000026</v>
      </c>
      <c r="E5" s="246">
        <f>'2017 '!V94</f>
        <v>414831.0625396783</v>
      </c>
      <c r="F5" s="246">
        <f>'2017 '!W94</f>
        <v>8193929.2222317439</v>
      </c>
      <c r="G5" s="246">
        <f>'2017 '!X94</f>
        <v>7910342.7767000003</v>
      </c>
      <c r="H5" s="246">
        <f>'2017 '!Y94</f>
        <v>283586.44553174265</v>
      </c>
      <c r="I5" s="246">
        <f>'2017 '!AB94</f>
        <v>604647.5</v>
      </c>
      <c r="J5" s="246"/>
      <c r="K5" s="249"/>
    </row>
    <row r="6" spans="1:11" ht="24.95" customHeight="1" x14ac:dyDescent="0.2">
      <c r="A6" s="247">
        <f>A5+1</f>
        <v>2</v>
      </c>
      <c r="B6" s="245">
        <f>B5+1</f>
        <v>2018</v>
      </c>
      <c r="C6" s="246">
        <f>'2018'!U53</f>
        <v>9794836.2299999986</v>
      </c>
      <c r="D6" s="246">
        <f>'2018'!V53</f>
        <v>6041016.4900000002</v>
      </c>
      <c r="E6" s="246">
        <f>'2018'!W53</f>
        <v>3753819.74</v>
      </c>
      <c r="F6" s="246">
        <f>'2018'!X53</f>
        <v>7601716.2227999996</v>
      </c>
      <c r="G6" s="246">
        <f>'2018'!Y53</f>
        <v>4622090.4267999995</v>
      </c>
      <c r="H6" s="246">
        <f>'2018'!Z53</f>
        <v>2979625.7960000001</v>
      </c>
      <c r="I6" s="246">
        <f>'2018'!AC53</f>
        <v>181984.66</v>
      </c>
      <c r="J6" s="246"/>
      <c r="K6" s="249"/>
    </row>
    <row r="7" spans="1:11" ht="24.95" customHeight="1" x14ac:dyDescent="0.2">
      <c r="A7" s="247">
        <f t="shared" ref="A7:A13" si="0">A6+1</f>
        <v>3</v>
      </c>
      <c r="B7" s="245">
        <f t="shared" ref="B7:B13" si="1">B6+1</f>
        <v>2019</v>
      </c>
      <c r="C7" s="246">
        <f>'2019'!V93</f>
        <v>9631415.9399999995</v>
      </c>
      <c r="D7" s="246">
        <f>'2019'!X93</f>
        <v>7202868.46</v>
      </c>
      <c r="E7" s="246">
        <f>'2019'!Y93</f>
        <v>2428547.48</v>
      </c>
      <c r="F7" s="246">
        <f>'2019'!Z93</f>
        <v>7683562.5919999983</v>
      </c>
      <c r="G7" s="246">
        <f>'2019'!AB93</f>
        <v>4714887.6559999986</v>
      </c>
      <c r="H7" s="246">
        <f>'2019'!AC93</f>
        <v>2725746.1840000004</v>
      </c>
      <c r="I7" s="246">
        <f>'2019'!AF93</f>
        <v>526679</v>
      </c>
      <c r="J7" s="246"/>
      <c r="K7" s="249"/>
    </row>
    <row r="8" spans="1:11" ht="24.95" customHeight="1" x14ac:dyDescent="0.2">
      <c r="A8" s="247">
        <f t="shared" si="0"/>
        <v>4</v>
      </c>
      <c r="B8" s="245">
        <f t="shared" si="1"/>
        <v>2020</v>
      </c>
      <c r="C8" s="246">
        <f>'2020'!V53</f>
        <v>2659884.04</v>
      </c>
      <c r="D8" s="246">
        <f>'2020'!X53</f>
        <v>2659884.04</v>
      </c>
      <c r="E8" s="246">
        <f>'2020'!Y53</f>
        <v>3.637978807091713E-12</v>
      </c>
      <c r="F8" s="246">
        <f>'2020'!Z53</f>
        <v>2096665.5269999998</v>
      </c>
      <c r="G8" s="246">
        <f>'2020'!AB53</f>
        <v>2079932.2029999997</v>
      </c>
      <c r="H8" s="246">
        <f>'2020'!AC53</f>
        <v>16733.324000000008</v>
      </c>
      <c r="I8" s="246">
        <f>'2020'!AF53</f>
        <v>359883.9</v>
      </c>
      <c r="J8" s="246"/>
      <c r="K8" s="249"/>
    </row>
    <row r="9" spans="1:11" ht="24.95" customHeight="1" x14ac:dyDescent="0.2">
      <c r="A9" s="247">
        <f t="shared" si="0"/>
        <v>5</v>
      </c>
      <c r="B9" s="245">
        <f t="shared" si="1"/>
        <v>2021</v>
      </c>
      <c r="C9" s="246">
        <f>'2021'!V63</f>
        <v>4949660.59</v>
      </c>
      <c r="D9" s="246">
        <f>'2021'!W63</f>
        <v>2250842.04</v>
      </c>
      <c r="E9" s="246">
        <f>'2021'!X63</f>
        <v>2698818.55</v>
      </c>
      <c r="F9" s="246">
        <f>'2021'!Y63</f>
        <v>4006859.892</v>
      </c>
      <c r="G9" s="246">
        <f>'2021'!Z63</f>
        <v>1817704.8319999999</v>
      </c>
      <c r="H9" s="246">
        <f>'2021'!AA63</f>
        <v>2189155.06</v>
      </c>
      <c r="I9" s="246">
        <f>'2021'!AF63</f>
        <v>1160693.75</v>
      </c>
      <c r="J9" s="246"/>
      <c r="K9" s="249"/>
    </row>
    <row r="10" spans="1:11" ht="24.95" customHeight="1" x14ac:dyDescent="0.2">
      <c r="A10" s="247">
        <f t="shared" si="0"/>
        <v>6</v>
      </c>
      <c r="B10" s="245">
        <f t="shared" si="1"/>
        <v>2022</v>
      </c>
      <c r="C10" s="246">
        <f>'2022'!V41</f>
        <v>2472393.77</v>
      </c>
      <c r="D10" s="246">
        <f>'2022'!W41</f>
        <v>1018770.05</v>
      </c>
      <c r="E10" s="246">
        <f>'2022'!X41</f>
        <v>1453623.72</v>
      </c>
      <c r="F10" s="246">
        <f>'2022'!Y41</f>
        <v>1877560.2260000003</v>
      </c>
      <c r="G10" s="246">
        <f>'2022'!Z41</f>
        <v>572215.03200000001</v>
      </c>
      <c r="H10" s="246">
        <f>'2022'!AA41</f>
        <v>1176971.594</v>
      </c>
      <c r="I10" s="246">
        <f>'2022'!AF41</f>
        <v>86152.5</v>
      </c>
      <c r="J10" s="246"/>
      <c r="K10" s="249"/>
    </row>
    <row r="11" spans="1:11" ht="24.95" customHeight="1" x14ac:dyDescent="0.2">
      <c r="A11" s="247">
        <f t="shared" si="0"/>
        <v>7</v>
      </c>
      <c r="B11" s="245">
        <f t="shared" si="1"/>
        <v>2023</v>
      </c>
      <c r="C11" s="246">
        <f>'2023  '!S122</f>
        <v>2777717.83</v>
      </c>
      <c r="D11" s="246">
        <f>'2023  '!T122</f>
        <v>1819232.83</v>
      </c>
      <c r="E11" s="246">
        <f>'2023  '!U122</f>
        <v>958485</v>
      </c>
      <c r="F11" s="246">
        <f>'2023  '!V122</f>
        <v>2239244.764</v>
      </c>
      <c r="G11" s="246">
        <f>'2023  '!W122</f>
        <v>1435886.4700000002</v>
      </c>
      <c r="H11" s="246">
        <f>'2023  '!X122</f>
        <v>803358.29399999999</v>
      </c>
      <c r="I11" s="246">
        <f>'2023  '!Y122</f>
        <v>443391.57849765266</v>
      </c>
      <c r="J11" s="246"/>
      <c r="K11" s="249"/>
    </row>
    <row r="12" spans="1:11" ht="24.95" customHeight="1" x14ac:dyDescent="0.2">
      <c r="A12" s="247">
        <f t="shared" si="0"/>
        <v>8</v>
      </c>
      <c r="B12" s="245">
        <f t="shared" si="1"/>
        <v>2024</v>
      </c>
      <c r="C12" s="246">
        <f>'2024'!S191</f>
        <v>3980370.92</v>
      </c>
      <c r="D12" s="246">
        <f>'2024'!T191</f>
        <v>1780562.72</v>
      </c>
      <c r="E12" s="246">
        <f>'2024'!U191</f>
        <v>2199808.2000000002</v>
      </c>
      <c r="F12" s="246">
        <f>'2024'!V191</f>
        <v>3253832.9859999996</v>
      </c>
      <c r="G12" s="246">
        <f>'2024'!W191</f>
        <v>861822.3400000002</v>
      </c>
      <c r="H12" s="246">
        <f>'2024'!X191</f>
        <v>2392010.6460000002</v>
      </c>
      <c r="I12" s="246">
        <f>'2024'!Y191</f>
        <v>626990.31586854486</v>
      </c>
      <c r="J12" s="246"/>
      <c r="K12" s="249"/>
    </row>
    <row r="13" spans="1:11" ht="24.95" customHeight="1" x14ac:dyDescent="0.2">
      <c r="A13" s="247">
        <f t="shared" si="0"/>
        <v>9</v>
      </c>
      <c r="B13" s="245">
        <f t="shared" si="1"/>
        <v>2025</v>
      </c>
      <c r="C13" s="246"/>
      <c r="D13" s="246"/>
      <c r="E13" s="246"/>
      <c r="F13" s="246"/>
      <c r="G13" s="246"/>
      <c r="H13" s="246"/>
      <c r="I13" s="246"/>
      <c r="J13" s="246"/>
      <c r="K13" s="249"/>
    </row>
    <row r="14" spans="1:11" ht="24.95" customHeight="1" thickBot="1" x14ac:dyDescent="0.25">
      <c r="A14" s="990" t="s">
        <v>734</v>
      </c>
      <c r="B14" s="991"/>
      <c r="C14" s="250">
        <f>SUM(C5:C13)</f>
        <v>46645788.932539679</v>
      </c>
      <c r="D14" s="250">
        <f t="shared" ref="D14:H14" si="2">SUM(D5:D13)</f>
        <v>32737855.18</v>
      </c>
      <c r="E14" s="250">
        <f t="shared" si="2"/>
        <v>13907933.752539679</v>
      </c>
      <c r="F14" s="250">
        <f t="shared" si="2"/>
        <v>36953371.432031743</v>
      </c>
      <c r="G14" s="250">
        <f t="shared" si="2"/>
        <v>24014881.736499999</v>
      </c>
      <c r="H14" s="250">
        <f t="shared" si="2"/>
        <v>12567187.343531743</v>
      </c>
      <c r="I14" s="250">
        <f>SUM(I5:I13)</f>
        <v>3990423.2043661973</v>
      </c>
      <c r="J14" s="250">
        <f t="shared" ref="J14:K14" si="3">SUM(J5:J13)</f>
        <v>0</v>
      </c>
      <c r="K14" s="251">
        <f t="shared" si="3"/>
        <v>0</v>
      </c>
    </row>
    <row r="15" spans="1:11" ht="24.95" customHeight="1" x14ac:dyDescent="0.2">
      <c r="C15" s="244"/>
      <c r="D15" s="244"/>
      <c r="E15" s="244"/>
      <c r="F15" s="244"/>
      <c r="G15" s="244"/>
      <c r="H15" s="244"/>
      <c r="I15" s="244"/>
      <c r="J15" s="244"/>
      <c r="K15" s="244"/>
    </row>
    <row r="16" spans="1:11" ht="24.95" customHeight="1" x14ac:dyDescent="0.2">
      <c r="C16" s="241"/>
      <c r="D16" s="241"/>
      <c r="E16" s="241"/>
      <c r="F16" s="241"/>
      <c r="G16" s="241"/>
      <c r="H16" s="242"/>
      <c r="I16" s="241"/>
      <c r="J16" s="241"/>
      <c r="K16" s="241"/>
    </row>
    <row r="17" spans="3:11" ht="24.95" customHeight="1" x14ac:dyDescent="0.2">
      <c r="C17" s="241"/>
      <c r="D17" s="241"/>
      <c r="E17" s="241"/>
      <c r="F17" s="241"/>
      <c r="G17" s="241"/>
      <c r="H17" s="242"/>
      <c r="I17" s="244"/>
      <c r="J17" s="241"/>
      <c r="K17" s="241"/>
    </row>
    <row r="18" spans="3:11" ht="24.95" customHeight="1" x14ac:dyDescent="0.2">
      <c r="C18" s="241"/>
      <c r="D18" s="241"/>
      <c r="E18" s="241"/>
      <c r="F18" s="241"/>
      <c r="G18" s="241"/>
      <c r="H18" s="242"/>
      <c r="I18" s="241"/>
      <c r="J18" s="241"/>
      <c r="K18" s="241"/>
    </row>
    <row r="19" spans="3:11" ht="24.95" customHeight="1" x14ac:dyDescent="0.2">
      <c r="H19" s="243"/>
    </row>
    <row r="20" spans="3:11" ht="24.95" customHeight="1" x14ac:dyDescent="0.2">
      <c r="H20" s="243"/>
    </row>
    <row r="21" spans="3:11" ht="24.95" customHeight="1" x14ac:dyDescent="0.2">
      <c r="H21" s="243"/>
    </row>
    <row r="22" spans="3:11" ht="24.95" customHeight="1" x14ac:dyDescent="0.2">
      <c r="H22" s="243"/>
    </row>
    <row r="23" spans="3:11" ht="24.95" customHeight="1" x14ac:dyDescent="0.2">
      <c r="H23" s="243"/>
    </row>
    <row r="24" spans="3:11" ht="24.95" customHeight="1" x14ac:dyDescent="0.2">
      <c r="H24" s="243"/>
    </row>
  </sheetData>
  <mergeCells count="9">
    <mergeCell ref="B2:B4"/>
    <mergeCell ref="A2:A4"/>
    <mergeCell ref="A1:K1"/>
    <mergeCell ref="A14:B14"/>
    <mergeCell ref="C2:E2"/>
    <mergeCell ref="F3:H3"/>
    <mergeCell ref="F2:K2"/>
    <mergeCell ref="I3:K3"/>
    <mergeCell ref="C3:E3"/>
  </mergeCells>
  <phoneticPr fontId="3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2017 </vt:lpstr>
      <vt:lpstr>2018</vt:lpstr>
      <vt:lpstr>2019</vt:lpstr>
      <vt:lpstr>2020</vt:lpstr>
      <vt:lpstr>2021</vt:lpstr>
      <vt:lpstr>2022</vt:lpstr>
      <vt:lpstr>2023  </vt:lpstr>
      <vt:lpstr>2024</vt:lpstr>
      <vt:lpstr>2025</vt:lpstr>
      <vt:lpstr>年度汇总表</vt:lpstr>
    </vt:vector>
  </TitlesOfParts>
  <Company>21</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星</dc:creator>
  <cp:lastModifiedBy>BB W</cp:lastModifiedBy>
  <cp:lastPrinted>2023-09-26T08:41:11Z</cp:lastPrinted>
  <dcterms:created xsi:type="dcterms:W3CDTF">2008-11-13T06:00:00Z</dcterms:created>
  <dcterms:modified xsi:type="dcterms:W3CDTF">2025-05-28T05:16:35Z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